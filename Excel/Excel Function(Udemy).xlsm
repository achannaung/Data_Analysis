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ARNING\Excel\"/>
    </mc:Choice>
  </mc:AlternateContent>
  <xr:revisionPtr revIDLastSave="0" documentId="8_{5D542BB6-55F3-4D3F-89CF-4D559904144B}" xr6:coauthVersionLast="47" xr6:coauthVersionMax="47" xr10:uidLastSave="{00000000-0000-0000-0000-000000000000}"/>
  <bookViews>
    <workbookView xWindow="-120" yWindow="-120" windowWidth="29040" windowHeight="15840" xr2:uid="{69C7AA12-E078-4C8B-BE95-F129C2C7C0F1}"/>
  </bookViews>
  <sheets>
    <sheet name="WORKDAY" sheetId="1" r:id="rId1"/>
    <sheet name="RAND" sheetId="2" r:id="rId2"/>
    <sheet name="RANDBETWEEN" sheetId="3" r:id="rId3"/>
    <sheet name="VLOOKUP" sheetId="4" r:id="rId4"/>
    <sheet name="HLOOKUP" sheetId="5" r:id="rId5"/>
    <sheet name="CHOOSE" sheetId="6" r:id="rId6"/>
    <sheet name="TRANSPOSE" sheetId="7" r:id="rId7"/>
    <sheet name="RANK" sheetId="8" r:id="rId8"/>
    <sheet name="COUNTBLANK" sheetId="9" r:id="rId9"/>
    <sheet name="INDEX &amp; MATCH" sheetId="10" r:id="rId10"/>
    <sheet name="CONVERT No. to Words" sheetId="11" r:id="rId11"/>
    <sheet name="Data Entry Form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1" l="1"/>
  <c r="F5" i="11"/>
  <c r="F6" i="11"/>
  <c r="F7" i="11"/>
  <c r="F8" i="11"/>
  <c r="F9" i="11"/>
  <c r="F10" i="11"/>
  <c r="F11" i="11"/>
  <c r="E4" i="11"/>
  <c r="E5" i="11"/>
  <c r="E6" i="11"/>
  <c r="E7" i="11"/>
  <c r="E8" i="11"/>
  <c r="E9" i="11"/>
  <c r="E10" i="11"/>
  <c r="E11" i="11"/>
  <c r="D4" i="11"/>
  <c r="D5" i="11"/>
  <c r="D6" i="11"/>
  <c r="D7" i="11"/>
  <c r="D8" i="11"/>
  <c r="D9" i="11"/>
  <c r="D10" i="11"/>
  <c r="D11" i="11"/>
  <c r="K5" i="10"/>
  <c r="L4" i="10"/>
  <c r="L3" i="10"/>
  <c r="F15" i="9"/>
  <c r="F17" i="9"/>
  <c r="F16" i="9"/>
  <c r="F3" i="8"/>
  <c r="F4" i="8"/>
  <c r="F5" i="8"/>
  <c r="F6" i="8"/>
  <c r="F7" i="8"/>
  <c r="F8" i="8"/>
  <c r="F9" i="8"/>
  <c r="F10" i="8"/>
  <c r="F11" i="8"/>
  <c r="F12" i="8"/>
  <c r="E4" i="8"/>
  <c r="E5" i="8"/>
  <c r="E6" i="8"/>
  <c r="E7" i="8"/>
  <c r="E8" i="8"/>
  <c r="E9" i="8"/>
  <c r="E10" i="8"/>
  <c r="E11" i="8"/>
  <c r="E12" i="8"/>
  <c r="E3" i="8"/>
  <c r="G5" i="7"/>
  <c r="F5" i="7"/>
  <c r="E5" i="7"/>
  <c r="D5" i="7"/>
  <c r="C5" i="7"/>
  <c r="H5" i="7" s="1"/>
  <c r="B5" i="7"/>
  <c r="H4" i="7"/>
  <c r="H3" i="7"/>
  <c r="C9" i="11" a="1"/>
  <c r="C11" i="11" a="1"/>
  <c r="C10" i="11" a="1"/>
  <c r="C6" i="11" a="1"/>
  <c r="C5" i="11" a="1"/>
  <c r="C7" i="11" a="1"/>
  <c r="C4" i="11" a="1"/>
  <c r="C8" i="11" a="1"/>
  <c r="C10" i="11" l="1"/>
  <c r="C11" i="11"/>
  <c r="C9" i="11"/>
  <c r="C8" i="11"/>
  <c r="C4" i="11"/>
  <c r="C7" i="11"/>
  <c r="C5" i="11"/>
  <c r="C6" i="11"/>
  <c r="A9" i="7" a="1"/>
  <c r="A9" i="7" s="1"/>
  <c r="E4" i="6"/>
  <c r="E5" i="6"/>
  <c r="E6" i="6"/>
  <c r="E7" i="6"/>
  <c r="E8" i="6"/>
  <c r="E9" i="6"/>
  <c r="E10" i="6"/>
  <c r="E11" i="6"/>
  <c r="E12" i="6"/>
  <c r="F4" i="6"/>
  <c r="F5" i="6"/>
  <c r="F6" i="6"/>
  <c r="F7" i="6"/>
  <c r="F8" i="6"/>
  <c r="F9" i="6"/>
  <c r="F10" i="6"/>
  <c r="F11" i="6"/>
  <c r="F12" i="6"/>
  <c r="F3" i="6"/>
  <c r="C16" i="5"/>
  <c r="C15" i="5"/>
  <c r="C14" i="5"/>
  <c r="C13" i="5"/>
  <c r="C12" i="5"/>
  <c r="K9" i="4"/>
  <c r="K8" i="4"/>
  <c r="K7" i="4"/>
  <c r="K6" i="4"/>
  <c r="K5" i="4"/>
  <c r="K4" i="4"/>
  <c r="H12" i="4"/>
  <c r="H11" i="4"/>
  <c r="H10" i="4"/>
  <c r="H9" i="4"/>
  <c r="H8" i="4"/>
  <c r="H7" i="4"/>
  <c r="H6" i="4"/>
  <c r="H5" i="4"/>
  <c r="H4" i="4"/>
  <c r="H3" i="4"/>
  <c r="D4" i="3"/>
  <c r="D5" i="3"/>
  <c r="D6" i="3"/>
  <c r="D7" i="3"/>
  <c r="D8" i="3"/>
  <c r="D9" i="3"/>
  <c r="D10" i="3"/>
  <c r="D11" i="3"/>
  <c r="D12" i="3"/>
  <c r="E4" i="2"/>
  <c r="E5" i="2"/>
  <c r="E6" i="2"/>
  <c r="E7" i="2"/>
  <c r="E8" i="2"/>
  <c r="E9" i="2"/>
  <c r="E10" i="2"/>
  <c r="E11" i="2"/>
  <c r="E12" i="2"/>
  <c r="G3" i="1"/>
  <c r="G4" i="1"/>
  <c r="G5" i="1"/>
  <c r="G6" i="1"/>
  <c r="F3" i="1"/>
  <c r="F4" i="1"/>
  <c r="F5" i="1"/>
  <c r="F6" i="1"/>
  <c r="E3" i="1"/>
  <c r="E4" i="1"/>
  <c r="E5" i="1"/>
  <c r="E6" i="1"/>
  <c r="D3" i="1"/>
  <c r="D4" i="1"/>
  <c r="D5" i="1"/>
  <c r="D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<sst xmlns="http://schemas.openxmlformats.org/spreadsheetml/2006/main" count="301" uniqueCount="172">
  <si>
    <t>Holidays</t>
  </si>
  <si>
    <t>Start
Date</t>
  </si>
  <si>
    <t>Project
Length(DAYS</t>
  </si>
  <si>
    <t>PROJECT
FINISHING DATE    (INCLUDED WEEKEND DAY)</t>
  </si>
  <si>
    <t xml:space="preserve">PROJECT
FINISHING DATE   (EXCLUDED WEEKENDDAY ) </t>
  </si>
  <si>
    <t xml:space="preserve">
PROJECT
FINISHING DATE   (EXCLUDED WEEKENDDAY ) </t>
  </si>
  <si>
    <t xml:space="preserve">
PROJECT
FINISHING DATE(EXCLUDED  WEEKENDDAY &amp;HOLYDAY )</t>
  </si>
  <si>
    <t>=WORKDAY(start_date,days,[holidays])</t>
  </si>
  <si>
    <t>=B2+C2</t>
  </si>
  <si>
    <t>=WORKDAY(B2,C2)</t>
  </si>
  <si>
    <t>=WORKDAY.INTL(B2,C2,7)</t>
  </si>
  <si>
    <t>=WORKDAY(B2,C2,$A$2:$A$12)</t>
  </si>
  <si>
    <t xml:space="preserve">SALARY SHEET  - JANUARY </t>
  </si>
  <si>
    <t xml:space="preserve"> NO</t>
  </si>
  <si>
    <t>EMPLOYEES'S NAME</t>
  </si>
  <si>
    <t>EMPLOYEE'S ID NO</t>
  </si>
  <si>
    <t>EMPLOYEE'S SALARY</t>
  </si>
  <si>
    <t xml:space="preserve">INCREMENT </t>
  </si>
  <si>
    <t>ASKER</t>
  </si>
  <si>
    <t>0000001</t>
  </si>
  <si>
    <t>AFRATH</t>
  </si>
  <si>
    <t>0000002</t>
  </si>
  <si>
    <t>NISAR</t>
  </si>
  <si>
    <t>0000003</t>
  </si>
  <si>
    <t>AMJATH</t>
  </si>
  <si>
    <t>0000004</t>
  </si>
  <si>
    <t>RAMU</t>
  </si>
  <si>
    <t>0000005</t>
  </si>
  <si>
    <t>AJESH</t>
  </si>
  <si>
    <t>0000006</t>
  </si>
  <si>
    <t>NOUFAL</t>
  </si>
  <si>
    <t>0000007</t>
  </si>
  <si>
    <t>ANVER</t>
  </si>
  <si>
    <t>0000008</t>
  </si>
  <si>
    <t>BALU</t>
  </si>
  <si>
    <t>0000009</t>
  </si>
  <si>
    <t>KARTHIK</t>
  </si>
  <si>
    <t>0000010</t>
  </si>
  <si>
    <t>RAND function returns a random number between 0 and 1</t>
  </si>
  <si>
    <t>RANDBETWEEN function returns a random Number between given number.</t>
  </si>
  <si>
    <t>=RAND()</t>
  </si>
  <si>
    <t>=RANDBETWEEN(40000,50000)</t>
  </si>
  <si>
    <t xml:space="preserve">SALE DETAILS  - JANUARY </t>
  </si>
  <si>
    <t>SE. NO</t>
  </si>
  <si>
    <t>SOUTH</t>
  </si>
  <si>
    <t>EAST</t>
  </si>
  <si>
    <t>WEST</t>
  </si>
  <si>
    <t>NORTH</t>
  </si>
  <si>
    <t>TOTAL</t>
  </si>
  <si>
    <t>E0001</t>
  </si>
  <si>
    <t>E0002</t>
  </si>
  <si>
    <t>E0003</t>
  </si>
  <si>
    <t>E0004</t>
  </si>
  <si>
    <t>E0005</t>
  </si>
  <si>
    <t>E0006</t>
  </si>
  <si>
    <t>E0007</t>
  </si>
  <si>
    <t>E0008</t>
  </si>
  <si>
    <t>E0009</t>
  </si>
  <si>
    <t>E0010</t>
  </si>
  <si>
    <t xml:space="preserve">HLOOKUP FOR STORE MANGEMENT  </t>
  </si>
  <si>
    <t>PRODUCT CODE</t>
  </si>
  <si>
    <t>P0001</t>
  </si>
  <si>
    <t>P0002</t>
  </si>
  <si>
    <t>P0003</t>
  </si>
  <si>
    <t>P0004</t>
  </si>
  <si>
    <t>P0005</t>
  </si>
  <si>
    <t xml:space="preserve">STORE -1 </t>
  </si>
  <si>
    <t>4130</t>
  </si>
  <si>
    <t xml:space="preserve">STORE -2 </t>
  </si>
  <si>
    <t>4560</t>
  </si>
  <si>
    <t>STORE -3</t>
  </si>
  <si>
    <t>4350</t>
  </si>
  <si>
    <t>STORE -4</t>
  </si>
  <si>
    <t>4287</t>
  </si>
  <si>
    <t>STORE -5</t>
  </si>
  <si>
    <t>4365</t>
  </si>
  <si>
    <t xml:space="preserve">INVENTORY STATUS </t>
  </si>
  <si>
    <t xml:space="preserve">PRODUCT CODE </t>
  </si>
  <si>
    <t># can change product code</t>
  </si>
  <si>
    <t># can add IFERROR(), if enter invalid product code</t>
  </si>
  <si>
    <t xml:space="preserve">STUDENT DETAILS </t>
  </si>
  <si>
    <t>STUDENT'S NAME</t>
  </si>
  <si>
    <t>STUDENT'S ROLL NO</t>
  </si>
  <si>
    <t>STUDENTS'S GRADE</t>
  </si>
  <si>
    <t>DEGREE (CHOOSE)</t>
  </si>
  <si>
    <t>DEGREE (VLOOKUP)</t>
  </si>
  <si>
    <t>DEGREE</t>
  </si>
  <si>
    <t>BBA</t>
  </si>
  <si>
    <t>BSC</t>
  </si>
  <si>
    <t>BA</t>
  </si>
  <si>
    <t>LLB</t>
  </si>
  <si>
    <t># CHOOSE functions returns a value from a list using a given position or index</t>
  </si>
  <si>
    <t>=CHOOSE(index_num, value1, [value2],…)</t>
  </si>
  <si>
    <t>=CHOOSE(D3,"BBA","BSC","BA","LLB")</t>
  </si>
  <si>
    <t>PROFIT REPORT</t>
  </si>
  <si>
    <t>Jan</t>
  </si>
  <si>
    <t>Feb</t>
  </si>
  <si>
    <t>Mar</t>
  </si>
  <si>
    <t>Apr</t>
  </si>
  <si>
    <t>May</t>
  </si>
  <si>
    <t>Jun</t>
  </si>
  <si>
    <t>Total</t>
  </si>
  <si>
    <t>Sales</t>
  </si>
  <si>
    <t>Expenses</t>
  </si>
  <si>
    <t>Profits</t>
  </si>
  <si>
    <t xml:space="preserve">TRANSPOSE </t>
  </si>
  <si>
    <t xml:space="preserve">CTR + SHIFT + ENTER </t>
  </si>
  <si>
    <t xml:space="preserve">PASTSPECIAL </t>
  </si>
  <si>
    <t>CTR + ALT + V</t>
  </si>
  <si>
    <t># TRANSPOSE function "flips" the orientation of a given range or array.</t>
  </si>
  <si>
    <t># TRANSPOSE converts a vertical range to a horizonal range, or a horizonal to vertical range.</t>
  </si>
  <si>
    <t>=TRANSPOSE(array)</t>
  </si>
  <si>
    <t># Methods (1) : copy, paste special, transpose</t>
  </si>
  <si>
    <t># Methods (2): =TRANSPOSE(select array)</t>
  </si>
  <si>
    <t>SALARY RANK(ASCENDING)</t>
  </si>
  <si>
    <t>SALARY RANK(DESCENDING)</t>
  </si>
  <si>
    <t>Low to Hight</t>
  </si>
  <si>
    <t>Hight to Low</t>
  </si>
  <si>
    <t>COUNTBLANK function returns a count of empty cells in range.</t>
  </si>
  <si>
    <t># Cells that contain text, numbers, errors, etc.</t>
  </si>
  <si>
    <t>=COUNTBLANK(range)</t>
  </si>
  <si>
    <t>Row</t>
  </si>
  <si>
    <t>Column</t>
  </si>
  <si>
    <t>Table</t>
  </si>
  <si>
    <t xml:space="preserve"> </t>
  </si>
  <si>
    <t>SALE REPORT - JANUARY TO JUNE</t>
  </si>
  <si>
    <t>PRODUCT</t>
  </si>
  <si>
    <t>JAN</t>
  </si>
  <si>
    <t>FAB</t>
  </si>
  <si>
    <t>MAR</t>
  </si>
  <si>
    <t>APR</t>
  </si>
  <si>
    <t>MAY</t>
  </si>
  <si>
    <t>JUNE</t>
  </si>
  <si>
    <t>SAMSUNG - A50</t>
  </si>
  <si>
    <t>SAMSUNG  -A30</t>
  </si>
  <si>
    <t>MONTH</t>
  </si>
  <si>
    <t>LAPTOP- I5</t>
  </si>
  <si>
    <t>SALE</t>
  </si>
  <si>
    <t>LAPTOP- I7</t>
  </si>
  <si>
    <t>OPPO MOBILE</t>
  </si>
  <si>
    <t xml:space="preserve">DATA VALIDATION </t>
  </si>
  <si>
    <t>ALT+D+L</t>
  </si>
  <si>
    <t># INDEX -get value at known position</t>
  </si>
  <si>
    <t># INDEX function: you'll find it in a huge number of Advanced Excel formulas.</t>
  </si>
  <si>
    <t>#MATCH function is designed for one purpose: # find the numeric position of an item in a list.</t>
  </si>
  <si>
    <t># if you change the month</t>
  </si>
  <si>
    <t># you have to change column number</t>
  </si>
  <si>
    <t>INDEX</t>
  </si>
  <si>
    <t>MATCH</t>
  </si>
  <si>
    <r>
      <t>=INDEX(C3:H7,</t>
    </r>
    <r>
      <rPr>
        <sz val="11"/>
        <color rgb="FFFF0000"/>
        <rFont val="Calibri"/>
        <family val="2"/>
        <scheme val="minor"/>
      </rPr>
      <t>MATCH(K3,B3:B7,0)</t>
    </r>
    <r>
      <rPr>
        <sz val="11"/>
        <color theme="1"/>
        <rFont val="Calibri"/>
        <family val="2"/>
        <scheme val="minor"/>
      </rPr>
      <t>,</t>
    </r>
    <r>
      <rPr>
        <sz val="11"/>
        <color rgb="FF00B0F0"/>
        <rFont val="Calibri"/>
        <family val="2"/>
        <scheme val="minor"/>
      </rPr>
      <t>MATCH(K4,C2:H2,0</t>
    </r>
    <r>
      <rPr>
        <sz val="11"/>
        <color theme="1"/>
        <rFont val="Calibri"/>
        <family val="2"/>
        <scheme val="minor"/>
      </rPr>
      <t>))</t>
    </r>
  </si>
  <si>
    <t>INDEX(arrray, combined INDEX, and MATCH)</t>
  </si>
  <si>
    <t>Number</t>
  </si>
  <si>
    <t>Number to Word</t>
  </si>
  <si>
    <t>Proper</t>
  </si>
  <si>
    <t>UPPER</t>
  </si>
  <si>
    <t>LOWER</t>
  </si>
  <si>
    <t>=spellNumber(B3)</t>
  </si>
  <si>
    <t>=PROPER(C3)</t>
  </si>
  <si>
    <t>=UPPER(C3)</t>
  </si>
  <si>
    <t>=LOWER(C3)</t>
  </si>
  <si>
    <t># File, Option, Customize Ribbon, Mark Developer</t>
  </si>
  <si>
    <t># Developer, Visual Basic, Insert, Module, Copy Code, and Save as file with Excel Macro</t>
  </si>
  <si>
    <t>Visual Basic Code:</t>
  </si>
  <si>
    <t>Name</t>
  </si>
  <si>
    <t xml:space="preserve">Age </t>
  </si>
  <si>
    <t>Gender</t>
  </si>
  <si>
    <t>Date of Birth</t>
  </si>
  <si>
    <t>City</t>
  </si>
  <si>
    <t>Country</t>
  </si>
  <si>
    <t>Phone</t>
  </si>
  <si>
    <t>Email</t>
  </si>
  <si>
    <t># File, Option, Quick Access Toolbar, All Commands, Select Form and 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</si>
</sst>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/mm/yyyy"/>
    <numFmt numFmtId="165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22"/>
      <color indexed="17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 Black"/>
      <family val="2"/>
    </font>
    <font>
      <sz val="10"/>
      <color theme="1"/>
      <name val="Arial Black"/>
      <family val="2"/>
    </font>
    <font>
      <sz val="11"/>
      <color rgb="FF00B0F0"/>
      <name val="Calibri"/>
      <family val="2"/>
      <scheme val="minor"/>
    </font>
    <font>
      <sz val="11"/>
      <color theme="1"/>
      <name val="Candara"/>
      <family val="2"/>
    </font>
    <font>
      <b/>
      <sz val="12"/>
      <color theme="1"/>
      <name val="Candara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05">
    <xf numFmtId="0" fontId="0" fillId="0" borderId="0" xfId="0"/>
    <xf numFmtId="0" fontId="5" fillId="0" borderId="0" xfId="3" applyFont="1" applyAlignment="1">
      <alignment horizontal="right" vertical="center" wrapText="1"/>
    </xf>
    <xf numFmtId="0" fontId="5" fillId="2" borderId="1" xfId="3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wrapText="1"/>
    </xf>
    <xf numFmtId="0" fontId="5" fillId="2" borderId="1" xfId="3" applyFont="1" applyFill="1" applyBorder="1" applyAlignment="1">
      <alignment horizontal="center" vertical="top" wrapText="1"/>
    </xf>
    <xf numFmtId="164" fontId="6" fillId="0" borderId="0" xfId="3" applyNumberFormat="1" applyFont="1"/>
    <xf numFmtId="164" fontId="6" fillId="0" borderId="1" xfId="3" applyNumberFormat="1" applyFont="1" applyBorder="1"/>
    <xf numFmtId="165" fontId="6" fillId="0" borderId="1" xfId="1" applyNumberFormat="1" applyFont="1" applyBorder="1"/>
    <xf numFmtId="0" fontId="0" fillId="0" borderId="1" xfId="0" applyBorder="1"/>
    <xf numFmtId="0" fontId="6" fillId="0" borderId="0" xfId="3" applyFont="1"/>
    <xf numFmtId="0" fontId="0" fillId="0" borderId="0" xfId="0" quotePrefix="1"/>
    <xf numFmtId="164" fontId="0" fillId="0" borderId="1" xfId="0" applyNumberFormat="1" applyBorder="1"/>
    <xf numFmtId="164" fontId="3" fillId="3" borderId="1" xfId="0" quotePrefix="1" applyNumberFormat="1" applyFont="1" applyFill="1" applyBorder="1"/>
    <xf numFmtId="0" fontId="7" fillId="4" borderId="2" xfId="0" applyFont="1" applyFill="1" applyBorder="1" applyAlignment="1">
      <alignment horizontal="center" wrapText="1"/>
    </xf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wrapText="1"/>
    </xf>
    <xf numFmtId="49" fontId="8" fillId="5" borderId="1" xfId="0" applyNumberFormat="1" applyFont="1" applyFill="1" applyBorder="1" applyAlignment="1">
      <alignment wrapText="1"/>
    </xf>
    <xf numFmtId="0" fontId="8" fillId="5" borderId="1" xfId="0" applyFont="1" applyFill="1" applyBorder="1" applyAlignment="1">
      <alignment horizontal="center" wrapText="1"/>
    </xf>
    <xf numFmtId="49" fontId="0" fillId="0" borderId="1" xfId="0" applyNumberFormat="1" applyBorder="1"/>
    <xf numFmtId="165" fontId="0" fillId="0" borderId="1" xfId="1" applyNumberFormat="1" applyFont="1" applyBorder="1"/>
    <xf numFmtId="9" fontId="0" fillId="6" borderId="1" xfId="2" applyFont="1" applyFill="1" applyBorder="1"/>
    <xf numFmtId="49" fontId="0" fillId="0" borderId="0" xfId="0" applyNumberFormat="1"/>
    <xf numFmtId="0" fontId="3" fillId="0" borderId="0" xfId="0" applyFont="1"/>
    <xf numFmtId="165" fontId="0" fillId="6" borderId="1" xfId="1" applyNumberFormat="1" applyFont="1" applyFill="1" applyBorder="1"/>
    <xf numFmtId="9" fontId="0" fillId="6" borderId="1" xfId="2" quotePrefix="1" applyFont="1" applyFill="1" applyBorder="1"/>
    <xf numFmtId="165" fontId="0" fillId="6" borderId="1" xfId="1" quotePrefix="1" applyNumberFormat="1" applyFont="1" applyFill="1" applyBorder="1"/>
    <xf numFmtId="0" fontId="7" fillId="4" borderId="0" xfId="0" applyFont="1" applyFill="1" applyAlignment="1">
      <alignment horizontal="center" wrapText="1"/>
    </xf>
    <xf numFmtId="0" fontId="8" fillId="7" borderId="1" xfId="0" applyFont="1" applyFill="1" applyBorder="1" applyAlignment="1">
      <alignment horizontal="center"/>
    </xf>
    <xf numFmtId="49" fontId="8" fillId="7" borderId="1" xfId="0" applyNumberFormat="1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1" xfId="0" applyFont="1" applyFill="1" applyBorder="1" applyAlignment="1">
      <alignment horizontal="center" wrapText="1"/>
    </xf>
    <xf numFmtId="165" fontId="0" fillId="0" borderId="1" xfId="0" applyNumberFormat="1" applyBorder="1"/>
    <xf numFmtId="0" fontId="3" fillId="8" borderId="1" xfId="0" applyFont="1" applyFill="1" applyBorder="1"/>
    <xf numFmtId="0" fontId="8" fillId="9" borderId="3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center"/>
    </xf>
    <xf numFmtId="49" fontId="8" fillId="9" borderId="1" xfId="0" applyNumberFormat="1" applyFont="1" applyFill="1" applyBorder="1" applyAlignment="1">
      <alignment wrapText="1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" fontId="0" fillId="0" borderId="1" xfId="1" applyNumberFormat="1" applyFont="1" applyBorder="1"/>
    <xf numFmtId="0" fontId="3" fillId="0" borderId="0" xfId="0" applyFont="1" applyAlignment="1">
      <alignment horizontal="center"/>
    </xf>
    <xf numFmtId="165" fontId="0" fillId="0" borderId="0" xfId="1" applyNumberFormat="1" applyFont="1" applyBorder="1"/>
    <xf numFmtId="0" fontId="9" fillId="8" borderId="1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5" fontId="0" fillId="11" borderId="1" xfId="1" applyNumberFormat="1" applyFont="1" applyFill="1" applyBorder="1"/>
    <xf numFmtId="165" fontId="0" fillId="3" borderId="1" xfId="1" applyNumberFormat="1" applyFont="1" applyFill="1" applyBorder="1"/>
    <xf numFmtId="0" fontId="3" fillId="12" borderId="1" xfId="0" applyFont="1" applyFill="1" applyBorder="1"/>
    <xf numFmtId="165" fontId="0" fillId="11" borderId="1" xfId="1" quotePrefix="1" applyNumberFormat="1" applyFont="1" applyFill="1" applyBorder="1"/>
    <xf numFmtId="0" fontId="10" fillId="11" borderId="1" xfId="3" applyFont="1" applyFill="1" applyBorder="1" applyAlignment="1">
      <alignment horizontal="center"/>
    </xf>
    <xf numFmtId="43" fontId="6" fillId="0" borderId="0" xfId="4" applyFont="1" applyFill="1"/>
    <xf numFmtId="0" fontId="6" fillId="0" borderId="1" xfId="3" applyFont="1" applyBorder="1"/>
    <xf numFmtId="0" fontId="11" fillId="0" borderId="1" xfId="3" applyFont="1" applyBorder="1" applyAlignment="1">
      <alignment horizontal="center"/>
    </xf>
    <xf numFmtId="0" fontId="11" fillId="0" borderId="1" xfId="3" applyFont="1" applyBorder="1"/>
    <xf numFmtId="2" fontId="6" fillId="0" borderId="1" xfId="5" applyNumberFormat="1" applyFont="1" applyFill="1" applyBorder="1"/>
    <xf numFmtId="43" fontId="6" fillId="0" borderId="1" xfId="4" applyFont="1" applyFill="1" applyBorder="1"/>
    <xf numFmtId="14" fontId="6" fillId="0" borderId="0" xfId="3" applyNumberFormat="1" applyFont="1"/>
    <xf numFmtId="0" fontId="11" fillId="3" borderId="1" xfId="3" applyFont="1" applyFill="1" applyBorder="1"/>
    <xf numFmtId="43" fontId="11" fillId="3" borderId="1" xfId="4" applyFont="1" applyFill="1" applyBorder="1"/>
    <xf numFmtId="18" fontId="6" fillId="0" borderId="0" xfId="3" applyNumberFormat="1" applyFont="1"/>
    <xf numFmtId="0" fontId="11" fillId="0" borderId="0" xfId="3" applyFont="1"/>
    <xf numFmtId="43" fontId="6" fillId="0" borderId="0" xfId="4" applyFont="1" applyFill="1" applyBorder="1"/>
    <xf numFmtId="44" fontId="6" fillId="0" borderId="0" xfId="6" applyFont="1"/>
    <xf numFmtId="0" fontId="11" fillId="13" borderId="0" xfId="3" applyFont="1" applyFill="1" applyAlignment="1">
      <alignment horizontal="center"/>
    </xf>
    <xf numFmtId="0" fontId="11" fillId="14" borderId="0" xfId="3" applyFont="1" applyFill="1" applyAlignment="1">
      <alignment horizontal="center"/>
    </xf>
    <xf numFmtId="0" fontId="6" fillId="0" borderId="0" xfId="3" quotePrefix="1" applyFont="1"/>
    <xf numFmtId="0" fontId="6" fillId="0" borderId="0" xfId="3" applyFont="1" applyFill="1" applyBorder="1"/>
    <xf numFmtId="0" fontId="11" fillId="0" borderId="0" xfId="3" applyFont="1" applyFill="1" applyBorder="1"/>
    <xf numFmtId="0" fontId="11" fillId="0" borderId="0" xfId="3" applyFont="1" applyFill="1" applyBorder="1" applyAlignment="1">
      <alignment horizontal="center"/>
    </xf>
    <xf numFmtId="2" fontId="6" fillId="0" borderId="0" xfId="5" applyNumberFormat="1" applyFont="1" applyFill="1" applyBorder="1"/>
    <xf numFmtId="43" fontId="11" fillId="0" borderId="0" xfId="4" applyFont="1" applyFill="1" applyBorder="1"/>
    <xf numFmtId="0" fontId="2" fillId="0" borderId="0" xfId="3" applyFont="1"/>
    <xf numFmtId="0" fontId="8" fillId="7" borderId="1" xfId="0" applyFont="1" applyFill="1" applyBorder="1" applyAlignment="1">
      <alignment horizontal="center" vertical="center" wrapText="1"/>
    </xf>
    <xf numFmtId="165" fontId="0" fillId="9" borderId="1" xfId="1" applyNumberFormat="1" applyFont="1" applyFill="1" applyBorder="1"/>
    <xf numFmtId="165" fontId="3" fillId="3" borderId="1" xfId="1" applyNumberFormat="1" applyFont="1" applyFill="1" applyBorder="1"/>
    <xf numFmtId="0" fontId="0" fillId="0" borderId="1" xfId="0" applyBorder="1" applyAlignment="1"/>
    <xf numFmtId="0" fontId="0" fillId="3" borderId="1" xfId="0" applyFill="1" applyBorder="1" applyAlignment="1"/>
    <xf numFmtId="0" fontId="13" fillId="7" borderId="1" xfId="0" applyFont="1" applyFill="1" applyBorder="1" applyAlignment="1">
      <alignment horizontal="center"/>
    </xf>
    <xf numFmtId="0" fontId="13" fillId="7" borderId="1" xfId="0" applyFont="1" applyFill="1" applyBorder="1" applyAlignment="1">
      <alignment wrapText="1"/>
    </xf>
    <xf numFmtId="49" fontId="13" fillId="7" borderId="1" xfId="0" applyNumberFormat="1" applyFont="1" applyFill="1" applyBorder="1" applyAlignment="1">
      <alignment wrapText="1"/>
    </xf>
    <xf numFmtId="0" fontId="13" fillId="7" borderId="1" xfId="0" applyFont="1" applyFill="1" applyBorder="1" applyAlignment="1">
      <alignment horizontal="center" wrapText="1"/>
    </xf>
    <xf numFmtId="0" fontId="14" fillId="0" borderId="1" xfId="0" applyFont="1" applyBorder="1"/>
    <xf numFmtId="165" fontId="14" fillId="0" borderId="1" xfId="1" applyNumberFormat="1" applyFont="1" applyFill="1" applyBorder="1" applyAlignment="1"/>
    <xf numFmtId="0" fontId="13" fillId="3" borderId="1" xfId="0" applyFont="1" applyFill="1" applyBorder="1" applyAlignment="1">
      <alignment horizontal="center" wrapText="1"/>
    </xf>
    <xf numFmtId="0" fontId="13" fillId="3" borderId="1" xfId="0" applyFont="1" applyFill="1" applyBorder="1"/>
    <xf numFmtId="0" fontId="15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17" fillId="0" borderId="0" xfId="0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165" fontId="18" fillId="0" borderId="1" xfId="1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5" fontId="18" fillId="0" borderId="0" xfId="1" applyNumberFormat="1" applyFont="1" applyAlignment="1">
      <alignment horizontal="center" vertical="center"/>
    </xf>
    <xf numFmtId="165" fontId="19" fillId="3" borderId="1" xfId="1" applyNumberFormat="1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8" fillId="0" borderId="1" xfId="0" quotePrefix="1" applyFont="1" applyBorder="1" applyAlignment="1">
      <alignment horizontal="center" vertical="center"/>
    </xf>
    <xf numFmtId="165" fontId="18" fillId="0" borderId="0" xfId="1" applyNumberFormat="1" applyFont="1" applyAlignment="1">
      <alignment horizontal="left" vertical="center"/>
    </xf>
    <xf numFmtId="14" fontId="0" fillId="0" borderId="0" xfId="0" applyNumberFormat="1"/>
    <xf numFmtId="0" fontId="20" fillId="0" borderId="0" xfId="7"/>
  </cellXfs>
  <cellStyles count="8">
    <cellStyle name="Comma" xfId="1" builtinId="3"/>
    <cellStyle name="Comma 2" xfId="4" xr:uid="{D9F542E1-EEFA-4E9E-9721-C33D56242864}"/>
    <cellStyle name="Currency 2" xfId="6" xr:uid="{11992DE2-2399-429E-9150-D1D50B096BE1}"/>
    <cellStyle name="Currency 2 2" xfId="5" xr:uid="{BADB27D8-74BD-4092-A2B9-2B0E91EF74EF}"/>
    <cellStyle name="Hyperlink" xfId="7" builtinId="8"/>
    <cellStyle name="Normal" xfId="0" builtinId="0"/>
    <cellStyle name="Normal 2" xfId="3" xr:uid="{716BB993-995D-455F-B109-5924AA03845D}"/>
    <cellStyle name="Percent" xfId="2" builtinId="5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28576</xdr:colOff>
          <xdr:row>16</xdr:row>
          <xdr:rowOff>47625</xdr:rowOff>
        </xdr:from>
        <xdr:to>
          <xdr:col>4</xdr:col>
          <xdr:colOff>1013158</xdr:colOff>
          <xdr:row>21</xdr:row>
          <xdr:rowOff>114300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935D5DF5-4065-42B7-B6B4-4F6A4A9EF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76200</xdr:rowOff>
        </xdr:from>
        <xdr:to>
          <xdr:col>2</xdr:col>
          <xdr:colOff>1181100</xdr:colOff>
          <xdr:row>17</xdr:row>
          <xdr:rowOff>228600</xdr:rowOff>
        </xdr:to>
        <xdr:sp macro="" textlink="">
          <xdr:nvSpPr>
            <xdr:cNvPr id="11267" name="Object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B9548CB7-76F2-4314-B4A0-536089144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AA2BE4-7D54-4805-9E12-CF5009049359}" name="Table1" displayName="Table1" ref="B2:I3" totalsRowShown="0" headerRowDxfId="0">
  <autoFilter ref="B2:I3" xr:uid="{3FAA2BE4-7D54-4805-9E12-CF5009049359}"/>
  <tableColumns count="8">
    <tableColumn id="1" xr3:uid="{689B6A03-FC8B-41B9-8F44-9BC65473D0D1}" name="Name"/>
    <tableColumn id="2" xr3:uid="{25A9D36A-E645-49C6-8610-1A9E7E1690CB}" name="Age "/>
    <tableColumn id="3" xr3:uid="{E8F95DD2-2338-4D8B-A14F-3D5FE38AA28A}" name="Gender"/>
    <tableColumn id="4" xr3:uid="{FDDCEB61-7024-43FC-AB2F-18BF61F42A75}" name="Date of Birth"/>
    <tableColumn id="5" xr3:uid="{0E2DD350-ECC0-494D-A0EF-068D2BC37F24}" name="City"/>
    <tableColumn id="6" xr3:uid="{787A50F7-57A3-498B-AB32-FE080E5C682E}" name="Country"/>
    <tableColumn id="7" xr3:uid="{A921CC18-6CB0-4D9B-B925-1471A93A3C84}" name="Phone"/>
    <tableColumn id="8" xr3:uid="{1C6323EC-6CAE-49E7-AA5B-F030335B3941}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55CFF-D254-4EEB-9D0E-059088DADCC7}">
  <sheetPr codeName="Sheet1"/>
  <dimension ref="A1:G15"/>
  <sheetViews>
    <sheetView tabSelected="1" zoomScaleNormal="100" workbookViewId="0">
      <selection activeCell="A15" sqref="A15"/>
    </sheetView>
  </sheetViews>
  <sheetFormatPr defaultRowHeight="15" x14ac:dyDescent="0.25"/>
  <cols>
    <col min="1" max="2" width="10.42578125" bestFit="1" customWidth="1"/>
    <col min="3" max="3" width="8.42578125" bestFit="1" customWidth="1"/>
    <col min="4" max="4" width="10.42578125" bestFit="1" customWidth="1"/>
    <col min="5" max="5" width="17.7109375" bestFit="1" customWidth="1"/>
    <col min="6" max="6" width="23.85546875" bestFit="1" customWidth="1"/>
    <col min="7" max="7" width="28.7109375" bestFit="1" customWidth="1"/>
    <col min="9" max="9" width="36.42578125" bestFit="1" customWidth="1"/>
  </cols>
  <sheetData>
    <row r="1" spans="1:7" ht="108.75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3" t="s">
        <v>6</v>
      </c>
    </row>
    <row r="2" spans="1:7" x14ac:dyDescent="0.25">
      <c r="A2" s="5">
        <v>43831</v>
      </c>
      <c r="B2" s="6">
        <v>43832</v>
      </c>
      <c r="C2" s="7">
        <v>60</v>
      </c>
      <c r="D2" s="12" t="s">
        <v>8</v>
      </c>
      <c r="E2" s="12" t="s">
        <v>9</v>
      </c>
      <c r="F2" s="12" t="s">
        <v>10</v>
      </c>
      <c r="G2" s="12" t="s">
        <v>11</v>
      </c>
    </row>
    <row r="3" spans="1:7" x14ac:dyDescent="0.25">
      <c r="A3" s="5">
        <v>43863</v>
      </c>
      <c r="B3" s="6">
        <v>43874</v>
      </c>
      <c r="C3" s="7">
        <v>60</v>
      </c>
      <c r="D3" s="11">
        <f t="shared" ref="D3:D6" si="0">B3+C3</f>
        <v>43934</v>
      </c>
      <c r="E3" s="11">
        <f t="shared" ref="E3:E6" si="1">WORKDAY(B3,C3)</f>
        <v>43958</v>
      </c>
      <c r="F3" s="11">
        <f t="shared" ref="F3:F6" si="2">WORKDAY.INTL(B3,C3,7)</f>
        <v>43958</v>
      </c>
      <c r="G3" s="11">
        <f t="shared" ref="G3:G6" si="3">WORKDAY(B3,C3,$A$2:$A$12)</f>
        <v>43963</v>
      </c>
    </row>
    <row r="4" spans="1:7" x14ac:dyDescent="0.25">
      <c r="A4" s="5">
        <v>43873</v>
      </c>
      <c r="B4" s="6">
        <v>43904</v>
      </c>
      <c r="C4" s="7">
        <v>60</v>
      </c>
      <c r="D4" s="11">
        <f t="shared" si="0"/>
        <v>43964</v>
      </c>
      <c r="E4" s="11">
        <f t="shared" si="1"/>
        <v>43987</v>
      </c>
      <c r="F4" s="11">
        <f t="shared" si="2"/>
        <v>43986</v>
      </c>
      <c r="G4" s="11">
        <f t="shared" si="3"/>
        <v>43991</v>
      </c>
    </row>
    <row r="5" spans="1:7" x14ac:dyDescent="0.25">
      <c r="A5" s="5">
        <v>43891</v>
      </c>
      <c r="B5" s="6">
        <v>43941</v>
      </c>
      <c r="C5" s="7">
        <v>45</v>
      </c>
      <c r="D5" s="11">
        <f t="shared" si="0"/>
        <v>43986</v>
      </c>
      <c r="E5" s="11">
        <f t="shared" si="1"/>
        <v>44004</v>
      </c>
      <c r="F5" s="11">
        <f t="shared" si="2"/>
        <v>44004</v>
      </c>
      <c r="G5" s="11">
        <f t="shared" si="3"/>
        <v>44005</v>
      </c>
    </row>
    <row r="6" spans="1:7" x14ac:dyDescent="0.25">
      <c r="A6" s="5">
        <v>43898</v>
      </c>
      <c r="B6" s="6">
        <v>43910</v>
      </c>
      <c r="C6" s="7">
        <v>45</v>
      </c>
      <c r="D6" s="11">
        <f t="shared" si="0"/>
        <v>43955</v>
      </c>
      <c r="E6" s="11">
        <f t="shared" si="1"/>
        <v>43973</v>
      </c>
      <c r="F6" s="11">
        <f t="shared" si="2"/>
        <v>43972</v>
      </c>
      <c r="G6" s="11">
        <f t="shared" si="3"/>
        <v>43977</v>
      </c>
    </row>
    <row r="7" spans="1:7" x14ac:dyDescent="0.25">
      <c r="A7" s="5">
        <v>43901</v>
      </c>
      <c r="B7" s="9"/>
      <c r="C7" s="9"/>
      <c r="D7" s="5"/>
      <c r="E7" s="5"/>
      <c r="F7" s="9"/>
      <c r="G7" s="9"/>
    </row>
    <row r="8" spans="1:7" x14ac:dyDescent="0.25">
      <c r="A8" s="5">
        <v>43924</v>
      </c>
      <c r="B8" s="9"/>
      <c r="C8" s="9"/>
      <c r="D8" s="5"/>
      <c r="E8" s="5"/>
      <c r="F8" s="9"/>
      <c r="G8" s="9"/>
    </row>
    <row r="9" spans="1:7" x14ac:dyDescent="0.25">
      <c r="A9" s="5">
        <v>43934</v>
      </c>
      <c r="B9" s="9"/>
      <c r="C9" s="9"/>
      <c r="D9" s="5"/>
      <c r="E9" s="5"/>
      <c r="F9" s="9"/>
      <c r="G9" s="9"/>
    </row>
    <row r="10" spans="1:7" x14ac:dyDescent="0.25">
      <c r="A10" s="5">
        <v>43960</v>
      </c>
      <c r="B10" s="9"/>
      <c r="C10" s="9"/>
      <c r="D10" s="5"/>
      <c r="E10" s="5"/>
      <c r="F10" s="9"/>
      <c r="G10" s="9"/>
    </row>
    <row r="11" spans="1:7" x14ac:dyDescent="0.25">
      <c r="A11" s="5">
        <v>43997</v>
      </c>
      <c r="B11" s="9"/>
      <c r="C11" s="9"/>
      <c r="D11" s="5"/>
      <c r="E11" s="5"/>
      <c r="F11" s="9"/>
      <c r="G11" s="9"/>
    </row>
    <row r="12" spans="1:7" x14ac:dyDescent="0.25">
      <c r="A12" s="5">
        <v>44120</v>
      </c>
      <c r="B12" s="9"/>
      <c r="C12" s="9"/>
      <c r="D12" s="5"/>
      <c r="E12" s="5"/>
      <c r="F12" s="9"/>
      <c r="G12" s="9"/>
    </row>
    <row r="15" spans="1:7" x14ac:dyDescent="0.25">
      <c r="B15" s="10" t="s">
        <v>7</v>
      </c>
    </row>
  </sheetData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0167-C098-4BD8-9B46-2024064A6F2E}">
  <sheetPr codeName="Sheet2"/>
  <dimension ref="A1:E25"/>
  <sheetViews>
    <sheetView workbookViewId="0">
      <selection activeCell="E4" sqref="E4"/>
    </sheetView>
  </sheetViews>
  <sheetFormatPr defaultRowHeight="15" x14ac:dyDescent="0.25"/>
  <cols>
    <col min="2" max="2" width="15" customWidth="1"/>
    <col min="3" max="3" width="13.7109375" style="21" customWidth="1"/>
    <col min="4" max="5" width="16" customWidth="1"/>
  </cols>
  <sheetData>
    <row r="1" spans="1:5" ht="28.5" x14ac:dyDescent="0.45">
      <c r="A1" s="13" t="s">
        <v>12</v>
      </c>
      <c r="B1" s="13"/>
      <c r="C1" s="13"/>
      <c r="D1" s="13"/>
      <c r="E1" s="13"/>
    </row>
    <row r="2" spans="1:5" ht="31.5" x14ac:dyDescent="0.25">
      <c r="A2" s="14" t="s">
        <v>13</v>
      </c>
      <c r="B2" s="15" t="s">
        <v>14</v>
      </c>
      <c r="C2" s="16" t="s">
        <v>15</v>
      </c>
      <c r="D2" s="17" t="s">
        <v>16</v>
      </c>
      <c r="E2" s="17" t="s">
        <v>17</v>
      </c>
    </row>
    <row r="3" spans="1:5" x14ac:dyDescent="0.25">
      <c r="A3" s="8">
        <v>1</v>
      </c>
      <c r="B3" s="8" t="s">
        <v>18</v>
      </c>
      <c r="C3" s="18" t="s">
        <v>19</v>
      </c>
      <c r="D3" s="19">
        <v>40000</v>
      </c>
      <c r="E3" s="24" t="s">
        <v>40</v>
      </c>
    </row>
    <row r="4" spans="1:5" x14ac:dyDescent="0.25">
      <c r="A4" s="8">
        <v>2</v>
      </c>
      <c r="B4" s="8" t="s">
        <v>20</v>
      </c>
      <c r="C4" s="18" t="s">
        <v>21</v>
      </c>
      <c r="D4" s="19">
        <v>42000</v>
      </c>
      <c r="E4" s="20">
        <f t="shared" ref="E4:E12" ca="1" si="0">RAND()</f>
        <v>0.67504581392426488</v>
      </c>
    </row>
    <row r="5" spans="1:5" x14ac:dyDescent="0.25">
      <c r="A5" s="8">
        <v>3</v>
      </c>
      <c r="B5" s="8" t="s">
        <v>22</v>
      </c>
      <c r="C5" s="18" t="s">
        <v>23</v>
      </c>
      <c r="D5" s="19">
        <v>60000</v>
      </c>
      <c r="E5" s="20">
        <f t="shared" ca="1" si="0"/>
        <v>0.20671143665219804</v>
      </c>
    </row>
    <row r="6" spans="1:5" x14ac:dyDescent="0.25">
      <c r="A6" s="8">
        <v>4</v>
      </c>
      <c r="B6" s="8" t="s">
        <v>24</v>
      </c>
      <c r="C6" s="18" t="s">
        <v>25</v>
      </c>
      <c r="D6" s="19">
        <v>46000</v>
      </c>
      <c r="E6" s="20">
        <f t="shared" ca="1" si="0"/>
        <v>6.6722081584726589E-2</v>
      </c>
    </row>
    <row r="7" spans="1:5" x14ac:dyDescent="0.25">
      <c r="A7" s="8">
        <v>5</v>
      </c>
      <c r="B7" s="8" t="s">
        <v>26</v>
      </c>
      <c r="C7" s="18" t="s">
        <v>27</v>
      </c>
      <c r="D7" s="19">
        <v>48000</v>
      </c>
      <c r="E7" s="20">
        <f t="shared" ca="1" si="0"/>
        <v>0.69222516601651018</v>
      </c>
    </row>
    <row r="8" spans="1:5" x14ac:dyDescent="0.25">
      <c r="A8" s="8">
        <v>6</v>
      </c>
      <c r="B8" s="8" t="s">
        <v>28</v>
      </c>
      <c r="C8" s="18" t="s">
        <v>29</v>
      </c>
      <c r="D8" s="19">
        <v>55000</v>
      </c>
      <c r="E8" s="20">
        <f t="shared" ca="1" si="0"/>
        <v>0.79311557756779438</v>
      </c>
    </row>
    <row r="9" spans="1:5" x14ac:dyDescent="0.25">
      <c r="A9" s="8">
        <v>7</v>
      </c>
      <c r="B9" s="8" t="s">
        <v>30</v>
      </c>
      <c r="C9" s="18" t="s">
        <v>31</v>
      </c>
      <c r="D9" s="19">
        <v>52000</v>
      </c>
      <c r="E9" s="20">
        <f t="shared" ca="1" si="0"/>
        <v>5.7677545321439649E-2</v>
      </c>
    </row>
    <row r="10" spans="1:5" x14ac:dyDescent="0.25">
      <c r="A10" s="8">
        <v>8</v>
      </c>
      <c r="B10" s="8" t="s">
        <v>32</v>
      </c>
      <c r="C10" s="18" t="s">
        <v>33</v>
      </c>
      <c r="D10" s="19">
        <v>54000</v>
      </c>
      <c r="E10" s="20">
        <f t="shared" ca="1" si="0"/>
        <v>0.94911470903943784</v>
      </c>
    </row>
    <row r="11" spans="1:5" x14ac:dyDescent="0.25">
      <c r="A11" s="8">
        <v>9</v>
      </c>
      <c r="B11" s="8" t="s">
        <v>34</v>
      </c>
      <c r="C11" s="18" t="s">
        <v>35</v>
      </c>
      <c r="D11" s="19">
        <v>34000</v>
      </c>
      <c r="E11" s="20">
        <f t="shared" ca="1" si="0"/>
        <v>0.77730079610719505</v>
      </c>
    </row>
    <row r="12" spans="1:5" x14ac:dyDescent="0.25">
      <c r="A12" s="8">
        <v>10</v>
      </c>
      <c r="B12" s="8" t="s">
        <v>36</v>
      </c>
      <c r="C12" s="18" t="s">
        <v>37</v>
      </c>
      <c r="D12" s="19">
        <v>58000</v>
      </c>
      <c r="E12" s="20">
        <f t="shared" ca="1" si="0"/>
        <v>0.14741933666352425</v>
      </c>
    </row>
    <row r="13" spans="1:5" x14ac:dyDescent="0.25">
      <c r="C13"/>
    </row>
    <row r="14" spans="1:5" x14ac:dyDescent="0.25">
      <c r="A14" s="22" t="s">
        <v>38</v>
      </c>
      <c r="C14"/>
    </row>
    <row r="15" spans="1:5" x14ac:dyDescent="0.25">
      <c r="C15"/>
    </row>
    <row r="16" spans="1:5" x14ac:dyDescent="0.25">
      <c r="C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C22C4-1125-44AB-9CA5-2981B3AEA152}">
  <sheetPr codeName="Sheet3"/>
  <dimension ref="A1:D25"/>
  <sheetViews>
    <sheetView workbookViewId="0">
      <selection activeCell="G8" sqref="G8"/>
    </sheetView>
  </sheetViews>
  <sheetFormatPr defaultRowHeight="15" x14ac:dyDescent="0.25"/>
  <cols>
    <col min="2" max="2" width="15" customWidth="1"/>
    <col min="3" max="3" width="13.7109375" style="21" customWidth="1"/>
    <col min="4" max="4" width="29.7109375" bestFit="1" customWidth="1"/>
  </cols>
  <sheetData>
    <row r="1" spans="1:4" ht="28.5" x14ac:dyDescent="0.45">
      <c r="A1" s="13" t="s">
        <v>12</v>
      </c>
      <c r="B1" s="13"/>
      <c r="C1" s="13"/>
      <c r="D1" s="13"/>
    </row>
    <row r="2" spans="1:4" ht="31.5" x14ac:dyDescent="0.25">
      <c r="A2" s="14" t="s">
        <v>13</v>
      </c>
      <c r="B2" s="15" t="s">
        <v>14</v>
      </c>
      <c r="C2" s="16" t="s">
        <v>15</v>
      </c>
      <c r="D2" s="17" t="s">
        <v>16</v>
      </c>
    </row>
    <row r="3" spans="1:4" x14ac:dyDescent="0.25">
      <c r="A3" s="8">
        <v>1</v>
      </c>
      <c r="B3" s="8" t="s">
        <v>18</v>
      </c>
      <c r="C3" s="18" t="s">
        <v>19</v>
      </c>
      <c r="D3" s="25" t="s">
        <v>41</v>
      </c>
    </row>
    <row r="4" spans="1:4" x14ac:dyDescent="0.25">
      <c r="A4" s="8">
        <v>2</v>
      </c>
      <c r="B4" s="8" t="s">
        <v>20</v>
      </c>
      <c r="C4" s="18" t="s">
        <v>21</v>
      </c>
      <c r="D4" s="23">
        <f t="shared" ref="D4:D12" ca="1" si="0">RANDBETWEEN(40000,50000)</f>
        <v>46788</v>
      </c>
    </row>
    <row r="5" spans="1:4" x14ac:dyDescent="0.25">
      <c r="A5" s="8">
        <v>3</v>
      </c>
      <c r="B5" s="8" t="s">
        <v>22</v>
      </c>
      <c r="C5" s="18" t="s">
        <v>23</v>
      </c>
      <c r="D5" s="23">
        <f t="shared" ca="1" si="0"/>
        <v>40590</v>
      </c>
    </row>
    <row r="6" spans="1:4" x14ac:dyDescent="0.25">
      <c r="A6" s="8">
        <v>4</v>
      </c>
      <c r="B6" s="8" t="s">
        <v>24</v>
      </c>
      <c r="C6" s="18" t="s">
        <v>25</v>
      </c>
      <c r="D6" s="23">
        <f t="shared" ca="1" si="0"/>
        <v>46536</v>
      </c>
    </row>
    <row r="7" spans="1:4" x14ac:dyDescent="0.25">
      <c r="A7" s="8">
        <v>5</v>
      </c>
      <c r="B7" s="8" t="s">
        <v>26</v>
      </c>
      <c r="C7" s="18" t="s">
        <v>27</v>
      </c>
      <c r="D7" s="23">
        <f t="shared" ca="1" si="0"/>
        <v>49291</v>
      </c>
    </row>
    <row r="8" spans="1:4" x14ac:dyDescent="0.25">
      <c r="A8" s="8">
        <v>6</v>
      </c>
      <c r="B8" s="8" t="s">
        <v>28</v>
      </c>
      <c r="C8" s="18" t="s">
        <v>29</v>
      </c>
      <c r="D8" s="23">
        <f t="shared" ca="1" si="0"/>
        <v>49133</v>
      </c>
    </row>
    <row r="9" spans="1:4" x14ac:dyDescent="0.25">
      <c r="A9" s="8">
        <v>7</v>
      </c>
      <c r="B9" s="8" t="s">
        <v>30</v>
      </c>
      <c r="C9" s="18" t="s">
        <v>31</v>
      </c>
      <c r="D9" s="23">
        <f t="shared" ca="1" si="0"/>
        <v>41436</v>
      </c>
    </row>
    <row r="10" spans="1:4" x14ac:dyDescent="0.25">
      <c r="A10" s="8">
        <v>8</v>
      </c>
      <c r="B10" s="8" t="s">
        <v>32</v>
      </c>
      <c r="C10" s="18" t="s">
        <v>33</v>
      </c>
      <c r="D10" s="23">
        <f t="shared" ca="1" si="0"/>
        <v>46515</v>
      </c>
    </row>
    <row r="11" spans="1:4" x14ac:dyDescent="0.25">
      <c r="A11" s="8">
        <v>9</v>
      </c>
      <c r="B11" s="8" t="s">
        <v>34</v>
      </c>
      <c r="C11" s="18" t="s">
        <v>35</v>
      </c>
      <c r="D11" s="23">
        <f t="shared" ca="1" si="0"/>
        <v>46291</v>
      </c>
    </row>
    <row r="12" spans="1:4" x14ac:dyDescent="0.25">
      <c r="A12" s="8">
        <v>10</v>
      </c>
      <c r="B12" s="8" t="s">
        <v>36</v>
      </c>
      <c r="C12" s="18" t="s">
        <v>37</v>
      </c>
      <c r="D12" s="23">
        <f t="shared" ca="1" si="0"/>
        <v>45435</v>
      </c>
    </row>
    <row r="13" spans="1:4" x14ac:dyDescent="0.25">
      <c r="C13"/>
    </row>
    <row r="14" spans="1:4" x14ac:dyDescent="0.25">
      <c r="A14" t="s">
        <v>39</v>
      </c>
      <c r="C14"/>
    </row>
    <row r="15" spans="1:4" x14ac:dyDescent="0.25">
      <c r="C15"/>
    </row>
    <row r="16" spans="1:4" x14ac:dyDescent="0.25">
      <c r="C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FFC2-7929-41E1-8C5E-E136B4139DCA}">
  <sheetPr codeName="Sheet4"/>
  <dimension ref="A1:K25"/>
  <sheetViews>
    <sheetView workbookViewId="0">
      <selection activeCell="L12" sqref="L12"/>
    </sheetView>
  </sheetViews>
  <sheetFormatPr defaultRowHeight="15" x14ac:dyDescent="0.25"/>
  <cols>
    <col min="2" max="3" width="13.7109375" style="21" customWidth="1"/>
    <col min="4" max="6" width="16" customWidth="1"/>
    <col min="7" max="8" width="19.140625" customWidth="1"/>
    <col min="10" max="10" width="20.42578125" customWidth="1"/>
    <col min="11" max="11" width="17.42578125" customWidth="1"/>
  </cols>
  <sheetData>
    <row r="1" spans="1:11" ht="28.5" x14ac:dyDescent="0.45">
      <c r="A1" s="13" t="s">
        <v>42</v>
      </c>
      <c r="B1" s="13"/>
      <c r="C1" s="13"/>
      <c r="D1" s="13"/>
      <c r="E1" s="13"/>
      <c r="F1" s="13"/>
      <c r="G1" s="13"/>
      <c r="H1" s="26"/>
    </row>
    <row r="2" spans="1:11" ht="31.5" x14ac:dyDescent="0.25">
      <c r="A2" s="27" t="s">
        <v>43</v>
      </c>
      <c r="B2" s="28" t="s">
        <v>15</v>
      </c>
      <c r="C2" s="29" t="s">
        <v>14</v>
      </c>
      <c r="D2" s="30" t="s">
        <v>44</v>
      </c>
      <c r="E2" s="30" t="s">
        <v>45</v>
      </c>
      <c r="F2" s="30" t="s">
        <v>46</v>
      </c>
      <c r="G2" s="30" t="s">
        <v>47</v>
      </c>
      <c r="H2" s="30" t="s">
        <v>48</v>
      </c>
    </row>
    <row r="3" spans="1:11" x14ac:dyDescent="0.25">
      <c r="A3" s="8">
        <v>1</v>
      </c>
      <c r="B3" s="18" t="s">
        <v>49</v>
      </c>
      <c r="C3" s="8" t="s">
        <v>18</v>
      </c>
      <c r="D3" s="19">
        <v>4020</v>
      </c>
      <c r="E3" s="19">
        <v>4080</v>
      </c>
      <c r="F3" s="19">
        <v>4100</v>
      </c>
      <c r="G3" s="19">
        <v>4110</v>
      </c>
      <c r="H3" s="31">
        <f t="shared" ref="H3:H12" si="0">SUM(D3:G3)</f>
        <v>16310</v>
      </c>
      <c r="J3" s="32" t="s">
        <v>15</v>
      </c>
      <c r="K3" s="8" t="s">
        <v>49</v>
      </c>
    </row>
    <row r="4" spans="1:11" x14ac:dyDescent="0.25">
      <c r="A4" s="8">
        <v>2</v>
      </c>
      <c r="B4" s="18" t="s">
        <v>50</v>
      </c>
      <c r="C4" s="8" t="s">
        <v>20</v>
      </c>
      <c r="D4" s="19">
        <v>4060</v>
      </c>
      <c r="E4" s="19">
        <v>4120</v>
      </c>
      <c r="F4" s="19">
        <v>4150</v>
      </c>
      <c r="G4" s="19">
        <v>4125</v>
      </c>
      <c r="H4" s="31">
        <f t="shared" si="0"/>
        <v>16455</v>
      </c>
      <c r="J4" s="32" t="s">
        <v>14</v>
      </c>
      <c r="K4" s="8" t="str">
        <f>VLOOKUP($K$3,$B$3:$H$12,2,FALSE)</f>
        <v>ASKER</v>
      </c>
    </row>
    <row r="5" spans="1:11" x14ac:dyDescent="0.25">
      <c r="A5" s="8">
        <v>3</v>
      </c>
      <c r="B5" s="18" t="s">
        <v>51</v>
      </c>
      <c r="C5" s="8" t="s">
        <v>22</v>
      </c>
      <c r="D5" s="19">
        <v>4100</v>
      </c>
      <c r="E5" s="19">
        <v>4160</v>
      </c>
      <c r="F5" s="19">
        <v>4200</v>
      </c>
      <c r="G5" s="19">
        <v>4140</v>
      </c>
      <c r="H5" s="31">
        <f t="shared" si="0"/>
        <v>16600</v>
      </c>
      <c r="J5" s="32" t="s">
        <v>44</v>
      </c>
      <c r="K5" s="8">
        <f>VLOOKUP($K$3,$B$3:$H$12,3,FALSE)</f>
        <v>4020</v>
      </c>
    </row>
    <row r="6" spans="1:11" x14ac:dyDescent="0.25">
      <c r="A6" s="8">
        <v>4</v>
      </c>
      <c r="B6" s="18" t="s">
        <v>52</v>
      </c>
      <c r="C6" s="8" t="s">
        <v>24</v>
      </c>
      <c r="D6" s="19">
        <v>4140</v>
      </c>
      <c r="E6" s="19">
        <v>4200</v>
      </c>
      <c r="F6" s="19">
        <v>4250</v>
      </c>
      <c r="G6" s="19">
        <v>4155</v>
      </c>
      <c r="H6" s="31">
        <f t="shared" si="0"/>
        <v>16745</v>
      </c>
      <c r="J6" s="32" t="s">
        <v>45</v>
      </c>
      <c r="K6" s="8">
        <f>VLOOKUP($K$3,$B$3:$H$12,4,FALSE)</f>
        <v>4080</v>
      </c>
    </row>
    <row r="7" spans="1:11" x14ac:dyDescent="0.25">
      <c r="A7" s="8">
        <v>5</v>
      </c>
      <c r="B7" s="18" t="s">
        <v>53</v>
      </c>
      <c r="C7" s="8" t="s">
        <v>26</v>
      </c>
      <c r="D7" s="19">
        <v>4180</v>
      </c>
      <c r="E7" s="19">
        <v>4240</v>
      </c>
      <c r="F7" s="19">
        <v>4300</v>
      </c>
      <c r="G7" s="19">
        <v>4170</v>
      </c>
      <c r="H7" s="31">
        <f t="shared" si="0"/>
        <v>16890</v>
      </c>
      <c r="J7" s="32" t="s">
        <v>46</v>
      </c>
      <c r="K7" s="8">
        <f>VLOOKUP($K$3,$B$3:$H$12,5,FALSE)</f>
        <v>4100</v>
      </c>
    </row>
    <row r="8" spans="1:11" x14ac:dyDescent="0.25">
      <c r="A8" s="8">
        <v>6</v>
      </c>
      <c r="B8" s="18" t="s">
        <v>54</v>
      </c>
      <c r="C8" s="8" t="s">
        <v>28</v>
      </c>
      <c r="D8" s="19">
        <v>4220</v>
      </c>
      <c r="E8" s="19">
        <v>4280</v>
      </c>
      <c r="F8" s="19">
        <v>4350</v>
      </c>
      <c r="G8" s="19">
        <v>4185</v>
      </c>
      <c r="H8" s="31">
        <f t="shared" si="0"/>
        <v>17035</v>
      </c>
      <c r="J8" s="32" t="s">
        <v>47</v>
      </c>
      <c r="K8" s="8">
        <f>VLOOKUP($K$3,$B$3:$H$12,6,FALSE)</f>
        <v>4110</v>
      </c>
    </row>
    <row r="9" spans="1:11" x14ac:dyDescent="0.25">
      <c r="A9" s="8">
        <v>7</v>
      </c>
      <c r="B9" s="18" t="s">
        <v>55</v>
      </c>
      <c r="C9" s="8" t="s">
        <v>30</v>
      </c>
      <c r="D9" s="19">
        <v>4260</v>
      </c>
      <c r="E9" s="19">
        <v>4320</v>
      </c>
      <c r="F9" s="19">
        <v>4400</v>
      </c>
      <c r="G9" s="19">
        <v>4200</v>
      </c>
      <c r="H9" s="31">
        <f t="shared" si="0"/>
        <v>17180</v>
      </c>
      <c r="J9" s="32" t="s">
        <v>48</v>
      </c>
      <c r="K9" s="8">
        <f>VLOOKUP($K$3,$B$3:$H$12,7,FALSE)</f>
        <v>16310</v>
      </c>
    </row>
    <row r="10" spans="1:11" x14ac:dyDescent="0.25">
      <c r="A10" s="8">
        <v>8</v>
      </c>
      <c r="B10" s="18" t="s">
        <v>56</v>
      </c>
      <c r="C10" s="8" t="s">
        <v>32</v>
      </c>
      <c r="D10" s="19">
        <v>4300</v>
      </c>
      <c r="E10" s="19">
        <v>4360</v>
      </c>
      <c r="F10" s="19">
        <v>4450</v>
      </c>
      <c r="G10" s="19">
        <v>4215</v>
      </c>
      <c r="H10" s="31">
        <f t="shared" si="0"/>
        <v>17325</v>
      </c>
    </row>
    <row r="11" spans="1:11" x14ac:dyDescent="0.25">
      <c r="A11" s="8">
        <v>9</v>
      </c>
      <c r="B11" s="18" t="s">
        <v>57</v>
      </c>
      <c r="C11" s="8" t="s">
        <v>34</v>
      </c>
      <c r="D11" s="19">
        <v>4340</v>
      </c>
      <c r="E11" s="19">
        <v>4400</v>
      </c>
      <c r="F11" s="19">
        <v>4500</v>
      </c>
      <c r="G11" s="19">
        <v>4230</v>
      </c>
      <c r="H11" s="31">
        <f t="shared" si="0"/>
        <v>17470</v>
      </c>
    </row>
    <row r="12" spans="1:11" x14ac:dyDescent="0.25">
      <c r="A12" s="8">
        <v>10</v>
      </c>
      <c r="B12" s="18" t="s">
        <v>58</v>
      </c>
      <c r="C12" s="8" t="s">
        <v>36</v>
      </c>
      <c r="D12" s="19">
        <v>4380</v>
      </c>
      <c r="E12" s="19">
        <v>4440</v>
      </c>
      <c r="F12" s="19">
        <v>4550</v>
      </c>
      <c r="G12" s="19">
        <v>4245</v>
      </c>
      <c r="H12" s="31">
        <f t="shared" si="0"/>
        <v>17615</v>
      </c>
    </row>
    <row r="13" spans="1:11" x14ac:dyDescent="0.25">
      <c r="B13"/>
      <c r="C13"/>
    </row>
    <row r="14" spans="1:11" x14ac:dyDescent="0.25">
      <c r="B14"/>
      <c r="C14"/>
    </row>
    <row r="15" spans="1:11" x14ac:dyDescent="0.25">
      <c r="B15"/>
      <c r="C15"/>
    </row>
    <row r="16" spans="1:11" x14ac:dyDescent="0.25">
      <c r="B16"/>
      <c r="C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</sheetData>
  <mergeCells count="1"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5E0CC-803F-4621-9731-523D264FF5C1}">
  <sheetPr codeName="Sheet5"/>
  <dimension ref="A1:G20"/>
  <sheetViews>
    <sheetView workbookViewId="0">
      <selection activeCell="C12" sqref="C12:D12"/>
    </sheetView>
  </sheetViews>
  <sheetFormatPr defaultRowHeight="15" x14ac:dyDescent="0.25"/>
  <cols>
    <col min="2" max="2" width="15" customWidth="1"/>
    <col min="3" max="3" width="13.7109375" style="21" customWidth="1"/>
    <col min="4" max="6" width="16" customWidth="1"/>
    <col min="7" max="7" width="19.140625" customWidth="1"/>
  </cols>
  <sheetData>
    <row r="1" spans="1:7" ht="28.5" x14ac:dyDescent="0.45">
      <c r="A1" s="13" t="s">
        <v>59</v>
      </c>
      <c r="B1" s="13"/>
      <c r="C1" s="13"/>
      <c r="D1" s="13"/>
      <c r="E1" s="13"/>
      <c r="F1" s="13"/>
      <c r="G1" s="13"/>
    </row>
    <row r="2" spans="1:7" ht="15.75" x14ac:dyDescent="0.25">
      <c r="A2" s="33" t="s">
        <v>60</v>
      </c>
      <c r="B2" s="34"/>
      <c r="C2" s="35" t="s">
        <v>61</v>
      </c>
      <c r="D2" s="35" t="s">
        <v>62</v>
      </c>
      <c r="E2" s="35" t="s">
        <v>63</v>
      </c>
      <c r="F2" s="35" t="s">
        <v>64</v>
      </c>
      <c r="G2" s="35" t="s">
        <v>65</v>
      </c>
    </row>
    <row r="3" spans="1:7" x14ac:dyDescent="0.25">
      <c r="A3" s="36" t="s">
        <v>66</v>
      </c>
      <c r="B3" s="37"/>
      <c r="C3" s="38" t="s">
        <v>67</v>
      </c>
      <c r="D3" s="38">
        <v>4020</v>
      </c>
      <c r="E3" s="38">
        <v>4080</v>
      </c>
      <c r="F3" s="38">
        <v>4100</v>
      </c>
      <c r="G3" s="38">
        <v>4110</v>
      </c>
    </row>
    <row r="4" spans="1:7" x14ac:dyDescent="0.25">
      <c r="A4" s="36" t="s">
        <v>68</v>
      </c>
      <c r="B4" s="37"/>
      <c r="C4" s="38" t="s">
        <v>69</v>
      </c>
      <c r="D4" s="38">
        <v>4060</v>
      </c>
      <c r="E4" s="38">
        <v>4120</v>
      </c>
      <c r="F4" s="38">
        <v>4150</v>
      </c>
      <c r="G4" s="38">
        <v>4125</v>
      </c>
    </row>
    <row r="5" spans="1:7" x14ac:dyDescent="0.25">
      <c r="A5" s="36" t="s">
        <v>70</v>
      </c>
      <c r="B5" s="37"/>
      <c r="C5" s="38" t="s">
        <v>71</v>
      </c>
      <c r="D5" s="38">
        <v>4100</v>
      </c>
      <c r="E5" s="38">
        <v>4160</v>
      </c>
      <c r="F5" s="38">
        <v>4200</v>
      </c>
      <c r="G5" s="38">
        <v>4140</v>
      </c>
    </row>
    <row r="6" spans="1:7" x14ac:dyDescent="0.25">
      <c r="A6" s="36" t="s">
        <v>72</v>
      </c>
      <c r="B6" s="37"/>
      <c r="C6" s="38" t="s">
        <v>73</v>
      </c>
      <c r="D6" s="38">
        <v>4140</v>
      </c>
      <c r="E6" s="38">
        <v>4200</v>
      </c>
      <c r="F6" s="38">
        <v>4250</v>
      </c>
      <c r="G6" s="38">
        <v>4155</v>
      </c>
    </row>
    <row r="7" spans="1:7" x14ac:dyDescent="0.25">
      <c r="A7" s="36" t="s">
        <v>74</v>
      </c>
      <c r="B7" s="37"/>
      <c r="C7" s="38" t="s">
        <v>75</v>
      </c>
      <c r="D7" s="38">
        <v>4180</v>
      </c>
      <c r="E7" s="38">
        <v>4240</v>
      </c>
      <c r="F7" s="38">
        <v>4300</v>
      </c>
      <c r="G7" s="38">
        <v>4170</v>
      </c>
    </row>
    <row r="8" spans="1:7" x14ac:dyDescent="0.25">
      <c r="A8" s="39"/>
      <c r="B8" s="39"/>
      <c r="C8" s="40"/>
      <c r="D8" s="40"/>
      <c r="E8" s="40"/>
      <c r="F8" s="40"/>
      <c r="G8" s="40"/>
    </row>
    <row r="9" spans="1:7" x14ac:dyDescent="0.25">
      <c r="C9"/>
    </row>
    <row r="10" spans="1:7" ht="21" x14ac:dyDescent="0.35">
      <c r="A10" s="41" t="s">
        <v>76</v>
      </c>
      <c r="B10" s="41"/>
      <c r="C10" s="41"/>
      <c r="D10" s="41"/>
    </row>
    <row r="11" spans="1:7" ht="15.75" x14ac:dyDescent="0.25">
      <c r="A11" s="42" t="s">
        <v>77</v>
      </c>
      <c r="B11" s="42"/>
      <c r="C11" s="43" t="s">
        <v>61</v>
      </c>
      <c r="D11" s="43"/>
      <c r="E11" t="s">
        <v>78</v>
      </c>
    </row>
    <row r="12" spans="1:7" x14ac:dyDescent="0.25">
      <c r="A12" s="44" t="s">
        <v>66</v>
      </c>
      <c r="B12" s="44"/>
      <c r="C12" s="45" t="str">
        <f>IFERROR(HLOOKUP($C$11,$C$2:$G$7,2,FALSE),"ERROR PRODUCT CODE")</f>
        <v>4130</v>
      </c>
      <c r="D12" s="45"/>
      <c r="E12" t="s">
        <v>79</v>
      </c>
    </row>
    <row r="13" spans="1:7" x14ac:dyDescent="0.25">
      <c r="A13" s="44" t="s">
        <v>68</v>
      </c>
      <c r="B13" s="44"/>
      <c r="C13" s="45" t="str">
        <f>IFERROR(HLOOKUP($C$11,$C$2:$G$7,3,FALSE),"ERROR PRODUCT CODE")</f>
        <v>4560</v>
      </c>
      <c r="D13" s="45"/>
    </row>
    <row r="14" spans="1:7" x14ac:dyDescent="0.25">
      <c r="A14" s="44" t="s">
        <v>70</v>
      </c>
      <c r="B14" s="44"/>
      <c r="C14" s="45" t="str">
        <f>IFERROR(HLOOKUP($C$11,$C$2:$G$7,4,FALSE),"ERROR PRODUCT CODE")</f>
        <v>4350</v>
      </c>
      <c r="D14" s="45"/>
    </row>
    <row r="15" spans="1:7" x14ac:dyDescent="0.25">
      <c r="A15" s="44" t="s">
        <v>72</v>
      </c>
      <c r="B15" s="44"/>
      <c r="C15" s="45" t="str">
        <f>IFERROR(HLOOKUP($C$11,$C$2:$G$7,5,FALSE),"ERROR PRODUCT CODE")</f>
        <v>4287</v>
      </c>
      <c r="D15" s="45"/>
    </row>
    <row r="16" spans="1:7" x14ac:dyDescent="0.25">
      <c r="A16" s="44" t="s">
        <v>74</v>
      </c>
      <c r="B16" s="44"/>
      <c r="C16" s="45" t="str">
        <f>IFERROR(HLOOKUP($C$11,$C$2:$G$7,6,FALSE),"ERROR PRODUCT CODE")</f>
        <v>4365</v>
      </c>
      <c r="D16" s="45"/>
    </row>
    <row r="17" customFormat="1" x14ac:dyDescent="0.25"/>
    <row r="18" customFormat="1" x14ac:dyDescent="0.25"/>
    <row r="19" customFormat="1" x14ac:dyDescent="0.25"/>
    <row r="20" customFormat="1" x14ac:dyDescent="0.25"/>
  </sheetData>
  <mergeCells count="20">
    <mergeCell ref="A16:B16"/>
    <mergeCell ref="C16:D16"/>
    <mergeCell ref="A13:B13"/>
    <mergeCell ref="C13:D13"/>
    <mergeCell ref="A14:B14"/>
    <mergeCell ref="C14:D14"/>
    <mergeCell ref="A15:B15"/>
    <mergeCell ref="C15:D15"/>
    <mergeCell ref="A7:B7"/>
    <mergeCell ref="A10:D10"/>
    <mergeCell ref="A11:B11"/>
    <mergeCell ref="C11:D11"/>
    <mergeCell ref="A12:B12"/>
    <mergeCell ref="C12:D12"/>
    <mergeCell ref="A1:G1"/>
    <mergeCell ref="A2:B2"/>
    <mergeCell ref="A3:B3"/>
    <mergeCell ref="A4:B4"/>
    <mergeCell ref="A5:B5"/>
    <mergeCell ref="A6:B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1405-8714-4D88-8441-5C6EB9199DAF}">
  <sheetPr codeName="Sheet6"/>
  <dimension ref="A1:I25"/>
  <sheetViews>
    <sheetView topLeftCell="D1" workbookViewId="0">
      <selection activeCell="E4" sqref="E4"/>
    </sheetView>
  </sheetViews>
  <sheetFormatPr defaultRowHeight="15" x14ac:dyDescent="0.25"/>
  <cols>
    <col min="2" max="2" width="15" customWidth="1"/>
    <col min="3" max="3" width="13.7109375" style="21" customWidth="1"/>
    <col min="4" max="4" width="16" customWidth="1"/>
    <col min="5" max="5" width="36.5703125" bestFit="1" customWidth="1"/>
    <col min="6" max="6" width="16" customWidth="1"/>
    <col min="8" max="8" width="19" customWidth="1"/>
    <col min="9" max="9" width="18.140625" customWidth="1"/>
  </cols>
  <sheetData>
    <row r="1" spans="1:9" ht="28.5" x14ac:dyDescent="0.45">
      <c r="A1" s="13" t="s">
        <v>80</v>
      </c>
      <c r="B1" s="13"/>
      <c r="C1" s="13"/>
      <c r="D1" s="13"/>
      <c r="E1" s="13"/>
      <c r="F1" s="13"/>
    </row>
    <row r="2" spans="1:9" ht="31.5" x14ac:dyDescent="0.25">
      <c r="A2" s="27" t="s">
        <v>13</v>
      </c>
      <c r="B2" s="29" t="s">
        <v>81</v>
      </c>
      <c r="C2" s="28" t="s">
        <v>82</v>
      </c>
      <c r="D2" s="30" t="s">
        <v>83</v>
      </c>
      <c r="E2" s="30" t="s">
        <v>84</v>
      </c>
      <c r="F2" s="30" t="s">
        <v>85</v>
      </c>
    </row>
    <row r="3" spans="1:9" x14ac:dyDescent="0.25">
      <c r="A3" s="8">
        <v>1</v>
      </c>
      <c r="B3" s="8" t="s">
        <v>18</v>
      </c>
      <c r="C3" s="18" t="s">
        <v>19</v>
      </c>
      <c r="D3" s="19">
        <v>2</v>
      </c>
      <c r="E3" s="50" t="s">
        <v>93</v>
      </c>
      <c r="F3" s="48" t="str">
        <f>VLOOKUP(D3,$H$5:I8,2,FALSE)</f>
        <v>BSC</v>
      </c>
    </row>
    <row r="4" spans="1:9" x14ac:dyDescent="0.25">
      <c r="A4" s="8">
        <v>2</v>
      </c>
      <c r="B4" s="8" t="s">
        <v>20</v>
      </c>
      <c r="C4" s="18" t="s">
        <v>21</v>
      </c>
      <c r="D4" s="19">
        <v>4</v>
      </c>
      <c r="E4" s="47" t="str">
        <f t="shared" ref="E4:E12" si="0">CHOOSE(D4,"BBA","BSC","BA","LLB")</f>
        <v>LLB</v>
      </c>
      <c r="F4" s="48" t="str">
        <f>VLOOKUP(D4,$H$5:I9,2,FALSE)</f>
        <v>LLB</v>
      </c>
      <c r="H4" s="49" t="s">
        <v>83</v>
      </c>
      <c r="I4" s="49" t="s">
        <v>86</v>
      </c>
    </row>
    <row r="5" spans="1:9" x14ac:dyDescent="0.25">
      <c r="A5" s="8">
        <v>3</v>
      </c>
      <c r="B5" s="8" t="s">
        <v>22</v>
      </c>
      <c r="C5" s="18" t="s">
        <v>23</v>
      </c>
      <c r="D5" s="19">
        <v>1</v>
      </c>
      <c r="E5" s="47" t="str">
        <f t="shared" si="0"/>
        <v>BBA</v>
      </c>
      <c r="F5" s="48" t="str">
        <f>VLOOKUP(D5,$H$5:I10,2,FALSE)</f>
        <v>BBA</v>
      </c>
      <c r="H5" s="46">
        <v>1</v>
      </c>
      <c r="I5" s="46" t="s">
        <v>87</v>
      </c>
    </row>
    <row r="6" spans="1:9" x14ac:dyDescent="0.25">
      <c r="A6" s="8">
        <v>4</v>
      </c>
      <c r="B6" s="8" t="s">
        <v>24</v>
      </c>
      <c r="C6" s="18" t="s">
        <v>25</v>
      </c>
      <c r="D6" s="19">
        <v>4</v>
      </c>
      <c r="E6" s="47" t="str">
        <f t="shared" si="0"/>
        <v>LLB</v>
      </c>
      <c r="F6" s="48" t="str">
        <f>VLOOKUP(D6,$H$5:I11,2,FALSE)</f>
        <v>LLB</v>
      </c>
      <c r="H6" s="46">
        <v>2</v>
      </c>
      <c r="I6" s="46" t="s">
        <v>88</v>
      </c>
    </row>
    <row r="7" spans="1:9" x14ac:dyDescent="0.25">
      <c r="A7" s="8">
        <v>5</v>
      </c>
      <c r="B7" s="8" t="s">
        <v>26</v>
      </c>
      <c r="C7" s="18" t="s">
        <v>27</v>
      </c>
      <c r="D7" s="19">
        <v>2</v>
      </c>
      <c r="E7" s="47" t="str">
        <f t="shared" si="0"/>
        <v>BSC</v>
      </c>
      <c r="F7" s="48" t="str">
        <f>VLOOKUP(D7,$H$5:I12,2,FALSE)</f>
        <v>BSC</v>
      </c>
      <c r="H7" s="46">
        <v>3</v>
      </c>
      <c r="I7" s="46" t="s">
        <v>89</v>
      </c>
    </row>
    <row r="8" spans="1:9" x14ac:dyDescent="0.25">
      <c r="A8" s="8">
        <v>6</v>
      </c>
      <c r="B8" s="8" t="s">
        <v>28</v>
      </c>
      <c r="C8" s="18" t="s">
        <v>29</v>
      </c>
      <c r="D8" s="19">
        <v>3</v>
      </c>
      <c r="E8" s="47" t="str">
        <f t="shared" si="0"/>
        <v>BA</v>
      </c>
      <c r="F8" s="48" t="str">
        <f>VLOOKUP(D8,$H$5:I13,2,FALSE)</f>
        <v>BA</v>
      </c>
      <c r="H8" s="46">
        <v>4</v>
      </c>
      <c r="I8" s="46" t="s">
        <v>90</v>
      </c>
    </row>
    <row r="9" spans="1:9" x14ac:dyDescent="0.25">
      <c r="A9" s="8">
        <v>7</v>
      </c>
      <c r="B9" s="8" t="s">
        <v>30</v>
      </c>
      <c r="C9" s="18" t="s">
        <v>31</v>
      </c>
      <c r="D9" s="19">
        <v>2</v>
      </c>
      <c r="E9" s="47" t="str">
        <f t="shared" si="0"/>
        <v>BSC</v>
      </c>
      <c r="F9" s="48" t="str">
        <f>VLOOKUP(D9,$H$5:I14,2,FALSE)</f>
        <v>BSC</v>
      </c>
    </row>
    <row r="10" spans="1:9" x14ac:dyDescent="0.25">
      <c r="A10" s="8">
        <v>8</v>
      </c>
      <c r="B10" s="8" t="s">
        <v>32</v>
      </c>
      <c r="C10" s="18" t="s">
        <v>33</v>
      </c>
      <c r="D10" s="19">
        <v>2</v>
      </c>
      <c r="E10" s="47" t="str">
        <f t="shared" si="0"/>
        <v>BSC</v>
      </c>
      <c r="F10" s="48" t="str">
        <f>VLOOKUP(D10,$H$5:I15,2,FALSE)</f>
        <v>BSC</v>
      </c>
    </row>
    <row r="11" spans="1:9" x14ac:dyDescent="0.25">
      <c r="A11" s="8">
        <v>9</v>
      </c>
      <c r="B11" s="8" t="s">
        <v>34</v>
      </c>
      <c r="C11" s="18" t="s">
        <v>35</v>
      </c>
      <c r="D11" s="19">
        <v>1</v>
      </c>
      <c r="E11" s="47" t="str">
        <f t="shared" si="0"/>
        <v>BBA</v>
      </c>
      <c r="F11" s="48" t="str">
        <f>VLOOKUP(D11,$H$5:I16,2,FALSE)</f>
        <v>BBA</v>
      </c>
    </row>
    <row r="12" spans="1:9" x14ac:dyDescent="0.25">
      <c r="A12" s="8">
        <v>10</v>
      </c>
      <c r="B12" s="8" t="s">
        <v>36</v>
      </c>
      <c r="C12" s="18" t="s">
        <v>37</v>
      </c>
      <c r="D12" s="19">
        <v>3</v>
      </c>
      <c r="E12" s="47" t="str">
        <f t="shared" si="0"/>
        <v>BA</v>
      </c>
      <c r="F12" s="48" t="str">
        <f>VLOOKUP(D12,$H$5:I17,2,FALSE)</f>
        <v>BA</v>
      </c>
    </row>
    <row r="13" spans="1:9" x14ac:dyDescent="0.25">
      <c r="C13"/>
    </row>
    <row r="14" spans="1:9" x14ac:dyDescent="0.25">
      <c r="C14"/>
    </row>
    <row r="15" spans="1:9" x14ac:dyDescent="0.25">
      <c r="A15" t="s">
        <v>91</v>
      </c>
      <c r="C15"/>
    </row>
    <row r="16" spans="1:9" x14ac:dyDescent="0.25">
      <c r="A16" s="10" t="s">
        <v>92</v>
      </c>
      <c r="C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16313-70ED-42B8-8757-625F2F0BF7FC}">
  <sheetPr codeName="Sheet7"/>
  <dimension ref="A1:K22"/>
  <sheetViews>
    <sheetView workbookViewId="0">
      <selection activeCell="A20" sqref="A20"/>
    </sheetView>
  </sheetViews>
  <sheetFormatPr defaultColWidth="9.140625" defaultRowHeight="15" x14ac:dyDescent="0.25"/>
  <cols>
    <col min="1" max="1" width="9.5703125" style="9" bestFit="1" customWidth="1"/>
    <col min="2" max="2" width="10.140625" style="9" bestFit="1" customWidth="1"/>
    <col min="3" max="7" width="9.42578125" style="9" bestFit="1" customWidth="1"/>
    <col min="8" max="8" width="11.140625" style="9" bestFit="1" customWidth="1"/>
    <col min="9" max="9" width="9.140625" style="9"/>
    <col min="10" max="10" width="12.7109375" style="9" bestFit="1" customWidth="1"/>
    <col min="11" max="16384" width="9.140625" style="9"/>
  </cols>
  <sheetData>
    <row r="1" spans="1:11" ht="28.5" x14ac:dyDescent="0.45">
      <c r="A1" s="51" t="s">
        <v>94</v>
      </c>
      <c r="B1" s="51"/>
      <c r="C1" s="51"/>
      <c r="D1" s="51"/>
      <c r="E1" s="51"/>
      <c r="F1" s="51"/>
      <c r="G1" s="51"/>
      <c r="H1" s="51"/>
      <c r="J1" s="52"/>
    </row>
    <row r="2" spans="1:11" x14ac:dyDescent="0.25">
      <c r="A2" s="53"/>
      <c r="B2" s="54" t="s">
        <v>95</v>
      </c>
      <c r="C2" s="54" t="s">
        <v>96</v>
      </c>
      <c r="D2" s="54" t="s">
        <v>97</v>
      </c>
      <c r="E2" s="54" t="s">
        <v>98</v>
      </c>
      <c r="F2" s="54" t="s">
        <v>99</v>
      </c>
      <c r="G2" s="54" t="s">
        <v>100</v>
      </c>
      <c r="H2" s="54" t="s">
        <v>101</v>
      </c>
      <c r="J2" s="52"/>
    </row>
    <row r="3" spans="1:11" x14ac:dyDescent="0.25">
      <c r="A3" s="55" t="s">
        <v>102</v>
      </c>
      <c r="B3" s="56">
        <v>155</v>
      </c>
      <c r="C3" s="56">
        <v>155</v>
      </c>
      <c r="D3" s="56">
        <v>155</v>
      </c>
      <c r="E3" s="56">
        <v>155</v>
      </c>
      <c r="F3" s="56">
        <v>155</v>
      </c>
      <c r="G3" s="56">
        <v>155</v>
      </c>
      <c r="H3" s="56">
        <f>SUM(B3:G3)</f>
        <v>930</v>
      </c>
    </row>
    <row r="4" spans="1:11" x14ac:dyDescent="0.25">
      <c r="A4" s="55" t="s">
        <v>103</v>
      </c>
      <c r="B4" s="57">
        <v>85</v>
      </c>
      <c r="C4" s="57">
        <v>95</v>
      </c>
      <c r="D4" s="57">
        <v>105</v>
      </c>
      <c r="E4" s="57">
        <v>115</v>
      </c>
      <c r="F4" s="57">
        <v>125</v>
      </c>
      <c r="G4" s="57">
        <v>135</v>
      </c>
      <c r="H4" s="57">
        <f>SUM(B4:G4)</f>
        <v>660</v>
      </c>
      <c r="J4" s="58"/>
    </row>
    <row r="5" spans="1:11" x14ac:dyDescent="0.25">
      <c r="A5" s="59" t="s">
        <v>104</v>
      </c>
      <c r="B5" s="60">
        <f t="shared" ref="B5:G5" si="0">B3-B4</f>
        <v>70</v>
      </c>
      <c r="C5" s="60">
        <f t="shared" si="0"/>
        <v>60</v>
      </c>
      <c r="D5" s="60">
        <f t="shared" si="0"/>
        <v>50</v>
      </c>
      <c r="E5" s="60">
        <f t="shared" si="0"/>
        <v>40</v>
      </c>
      <c r="F5" s="60">
        <f t="shared" si="0"/>
        <v>30</v>
      </c>
      <c r="G5" s="60">
        <f t="shared" si="0"/>
        <v>20</v>
      </c>
      <c r="H5" s="60">
        <f>SUM(B5:G5)</f>
        <v>270</v>
      </c>
      <c r="J5" s="61"/>
    </row>
    <row r="6" spans="1:11" x14ac:dyDescent="0.25">
      <c r="A6" s="62"/>
      <c r="B6" s="63"/>
      <c r="C6" s="63"/>
      <c r="D6" s="63"/>
      <c r="E6" s="63"/>
      <c r="F6" s="63"/>
      <c r="G6" s="63"/>
      <c r="H6" s="63"/>
    </row>
    <row r="8" spans="1:11" x14ac:dyDescent="0.25">
      <c r="B8" s="64"/>
      <c r="C8" s="64"/>
      <c r="D8" s="64"/>
    </row>
    <row r="9" spans="1:11" x14ac:dyDescent="0.25">
      <c r="A9" s="10" cm="1">
        <f t="array" ref="A9:D16">TRANSPOSE(A2:H5)</f>
        <v>0</v>
      </c>
      <c r="B9" t="str">
        <v>Sales</v>
      </c>
      <c r="C9" t="str">
        <v>Expenses</v>
      </c>
      <c r="D9" t="str">
        <v>Profits</v>
      </c>
    </row>
    <row r="10" spans="1:11" x14ac:dyDescent="0.25">
      <c r="A10" s="68" t="str">
        <v>Jan</v>
      </c>
      <c r="B10" s="69">
        <v>155</v>
      </c>
      <c r="C10" s="69">
        <v>85</v>
      </c>
      <c r="D10" s="69">
        <v>70</v>
      </c>
    </row>
    <row r="11" spans="1:11" x14ac:dyDescent="0.25">
      <c r="A11" s="70" t="str">
        <v>Feb</v>
      </c>
      <c r="B11" s="71">
        <v>155</v>
      </c>
      <c r="C11" s="63">
        <v>95</v>
      </c>
      <c r="D11" s="72">
        <v>60</v>
      </c>
      <c r="H11" s="65" t="s">
        <v>105</v>
      </c>
      <c r="I11" s="65"/>
      <c r="J11" s="65" t="s">
        <v>106</v>
      </c>
      <c r="K11" s="65"/>
    </row>
    <row r="12" spans="1:11" x14ac:dyDescent="0.25">
      <c r="A12" s="70" t="str">
        <v>Mar</v>
      </c>
      <c r="B12" s="71">
        <v>155</v>
      </c>
      <c r="C12" s="63">
        <v>105</v>
      </c>
      <c r="D12" s="72">
        <v>50</v>
      </c>
      <c r="H12" s="66" t="s">
        <v>107</v>
      </c>
      <c r="I12" s="66"/>
      <c r="J12" s="66" t="s">
        <v>108</v>
      </c>
      <c r="K12" s="66"/>
    </row>
    <row r="13" spans="1:11" x14ac:dyDescent="0.25">
      <c r="A13" s="70" t="str">
        <v>Apr</v>
      </c>
      <c r="B13" s="71">
        <v>155</v>
      </c>
      <c r="C13" s="63">
        <v>115</v>
      </c>
      <c r="D13" s="72">
        <v>40</v>
      </c>
    </row>
    <row r="14" spans="1:11" x14ac:dyDescent="0.25">
      <c r="A14" s="70" t="str">
        <v>May</v>
      </c>
      <c r="B14" s="71">
        <v>155</v>
      </c>
      <c r="C14" s="63">
        <v>125</v>
      </c>
      <c r="D14" s="72">
        <v>30</v>
      </c>
    </row>
    <row r="15" spans="1:11" x14ac:dyDescent="0.25">
      <c r="A15" s="70" t="str">
        <v>Jun</v>
      </c>
      <c r="B15" s="71">
        <v>155</v>
      </c>
      <c r="C15" s="63">
        <v>135</v>
      </c>
      <c r="D15" s="72">
        <v>20</v>
      </c>
    </row>
    <row r="16" spans="1:11" x14ac:dyDescent="0.25">
      <c r="A16" s="70" t="str">
        <v>Total</v>
      </c>
      <c r="B16" s="71">
        <v>930</v>
      </c>
      <c r="C16" s="63">
        <v>660</v>
      </c>
      <c r="D16" s="72">
        <v>270</v>
      </c>
    </row>
    <row r="17" spans="1:4" x14ac:dyDescent="0.25">
      <c r="A17" s="70"/>
      <c r="B17" s="71"/>
      <c r="C17" s="63"/>
      <c r="D17" s="72"/>
    </row>
    <row r="18" spans="1:4" x14ac:dyDescent="0.25">
      <c r="A18" s="73" t="s">
        <v>112</v>
      </c>
      <c r="B18" s="71"/>
      <c r="C18" s="63"/>
      <c r="D18" s="72"/>
    </row>
    <row r="19" spans="1:4" x14ac:dyDescent="0.25">
      <c r="A19" s="73" t="s">
        <v>113</v>
      </c>
      <c r="B19" s="71"/>
      <c r="C19" s="63"/>
      <c r="D19" s="72"/>
    </row>
    <row r="20" spans="1:4" x14ac:dyDescent="0.25">
      <c r="A20" s="9" t="s">
        <v>109</v>
      </c>
    </row>
    <row r="21" spans="1:4" x14ac:dyDescent="0.25">
      <c r="A21" s="9" t="s">
        <v>110</v>
      </c>
    </row>
    <row r="22" spans="1:4" x14ac:dyDescent="0.25">
      <c r="A22" s="67" t="s">
        <v>111</v>
      </c>
    </row>
  </sheetData>
  <mergeCells count="5">
    <mergeCell ref="A1:H1"/>
    <mergeCell ref="H11:I11"/>
    <mergeCell ref="J11:K11"/>
    <mergeCell ref="H12:I12"/>
    <mergeCell ref="J12:K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C82D-36C7-416D-B487-6A16E8FB35DB}">
  <sheetPr codeName="Sheet8"/>
  <dimension ref="A1:F25"/>
  <sheetViews>
    <sheetView topLeftCell="C1" workbookViewId="0">
      <selection activeCell="E14" sqref="E14"/>
    </sheetView>
  </sheetViews>
  <sheetFormatPr defaultRowHeight="15" x14ac:dyDescent="0.25"/>
  <cols>
    <col min="2" max="2" width="15" customWidth="1"/>
    <col min="3" max="3" width="13.7109375" style="21" customWidth="1"/>
    <col min="4" max="4" width="16" customWidth="1"/>
    <col min="5" max="5" width="21.7109375" customWidth="1"/>
    <col min="6" max="6" width="23.28515625" customWidth="1"/>
  </cols>
  <sheetData>
    <row r="1" spans="1:6" ht="28.5" x14ac:dyDescent="0.45">
      <c r="A1" s="13" t="s">
        <v>12</v>
      </c>
      <c r="B1" s="13"/>
      <c r="C1" s="13"/>
      <c r="D1" s="13"/>
      <c r="E1" s="13"/>
      <c r="F1" s="13"/>
    </row>
    <row r="2" spans="1:6" ht="31.5" x14ac:dyDescent="0.25">
      <c r="A2" s="27" t="s">
        <v>13</v>
      </c>
      <c r="B2" s="29" t="s">
        <v>14</v>
      </c>
      <c r="C2" s="28" t="s">
        <v>15</v>
      </c>
      <c r="D2" s="30" t="s">
        <v>16</v>
      </c>
      <c r="E2" s="74" t="s">
        <v>114</v>
      </c>
      <c r="F2" s="74" t="s">
        <v>115</v>
      </c>
    </row>
    <row r="3" spans="1:6" x14ac:dyDescent="0.25">
      <c r="A3" s="8">
        <v>1</v>
      </c>
      <c r="B3" s="8" t="s">
        <v>18</v>
      </c>
      <c r="C3" s="18" t="s">
        <v>19</v>
      </c>
      <c r="D3" s="19">
        <v>40000</v>
      </c>
      <c r="E3" s="75">
        <f>RANK(D3,$D$3:$D$12,1)</f>
        <v>2</v>
      </c>
      <c r="F3" s="76">
        <f>RANK(D3,$D$3:$D$12,0)</f>
        <v>9</v>
      </c>
    </row>
    <row r="4" spans="1:6" x14ac:dyDescent="0.25">
      <c r="A4" s="8">
        <v>2</v>
      </c>
      <c r="B4" s="8" t="s">
        <v>20</v>
      </c>
      <c r="C4" s="18" t="s">
        <v>21</v>
      </c>
      <c r="D4" s="19">
        <v>42000</v>
      </c>
      <c r="E4" s="75">
        <f t="shared" ref="E4:E12" si="0">RANK(D4,$D$3:$D$12,1)</f>
        <v>3</v>
      </c>
      <c r="F4" s="76">
        <f t="shared" ref="F4:F12" si="1">RANK(D4,$D$3:$D$12,0)</f>
        <v>8</v>
      </c>
    </row>
    <row r="5" spans="1:6" x14ac:dyDescent="0.25">
      <c r="A5" s="8">
        <v>3</v>
      </c>
      <c r="B5" s="8" t="s">
        <v>22</v>
      </c>
      <c r="C5" s="18" t="s">
        <v>23</v>
      </c>
      <c r="D5" s="19">
        <v>60000</v>
      </c>
      <c r="E5" s="75">
        <f t="shared" si="0"/>
        <v>10</v>
      </c>
      <c r="F5" s="76">
        <f t="shared" si="1"/>
        <v>1</v>
      </c>
    </row>
    <row r="6" spans="1:6" x14ac:dyDescent="0.25">
      <c r="A6" s="8">
        <v>4</v>
      </c>
      <c r="B6" s="8" t="s">
        <v>24</v>
      </c>
      <c r="C6" s="18" t="s">
        <v>25</v>
      </c>
      <c r="D6" s="19">
        <v>46000</v>
      </c>
      <c r="E6" s="75">
        <f t="shared" si="0"/>
        <v>4</v>
      </c>
      <c r="F6" s="76">
        <f t="shared" si="1"/>
        <v>7</v>
      </c>
    </row>
    <row r="7" spans="1:6" x14ac:dyDescent="0.25">
      <c r="A7" s="8">
        <v>5</v>
      </c>
      <c r="B7" s="8" t="s">
        <v>26</v>
      </c>
      <c r="C7" s="18" t="s">
        <v>27</v>
      </c>
      <c r="D7" s="19">
        <v>48000</v>
      </c>
      <c r="E7" s="75">
        <f t="shared" si="0"/>
        <v>5</v>
      </c>
      <c r="F7" s="76">
        <f t="shared" si="1"/>
        <v>6</v>
      </c>
    </row>
    <row r="8" spans="1:6" x14ac:dyDescent="0.25">
      <c r="A8" s="8">
        <v>6</v>
      </c>
      <c r="B8" s="8" t="s">
        <v>28</v>
      </c>
      <c r="C8" s="18" t="s">
        <v>29</v>
      </c>
      <c r="D8" s="19">
        <v>55000</v>
      </c>
      <c r="E8" s="75">
        <f t="shared" si="0"/>
        <v>8</v>
      </c>
      <c r="F8" s="76">
        <f t="shared" si="1"/>
        <v>3</v>
      </c>
    </row>
    <row r="9" spans="1:6" x14ac:dyDescent="0.25">
      <c r="A9" s="8">
        <v>7</v>
      </c>
      <c r="B9" s="8" t="s">
        <v>30</v>
      </c>
      <c r="C9" s="18" t="s">
        <v>31</v>
      </c>
      <c r="D9" s="19">
        <v>52000</v>
      </c>
      <c r="E9" s="75">
        <f t="shared" si="0"/>
        <v>6</v>
      </c>
      <c r="F9" s="76">
        <f t="shared" si="1"/>
        <v>5</v>
      </c>
    </row>
    <row r="10" spans="1:6" x14ac:dyDescent="0.25">
      <c r="A10" s="8">
        <v>8</v>
      </c>
      <c r="B10" s="8" t="s">
        <v>32</v>
      </c>
      <c r="C10" s="18" t="s">
        <v>33</v>
      </c>
      <c r="D10" s="19">
        <v>54000</v>
      </c>
      <c r="E10" s="75">
        <f t="shared" si="0"/>
        <v>7</v>
      </c>
      <c r="F10" s="76">
        <f t="shared" si="1"/>
        <v>4</v>
      </c>
    </row>
    <row r="11" spans="1:6" x14ac:dyDescent="0.25">
      <c r="A11" s="8">
        <v>9</v>
      </c>
      <c r="B11" s="8" t="s">
        <v>34</v>
      </c>
      <c r="C11" s="18" t="s">
        <v>35</v>
      </c>
      <c r="D11" s="19">
        <v>34000</v>
      </c>
      <c r="E11" s="75">
        <f t="shared" si="0"/>
        <v>1</v>
      </c>
      <c r="F11" s="76">
        <f t="shared" si="1"/>
        <v>10</v>
      </c>
    </row>
    <row r="12" spans="1:6" x14ac:dyDescent="0.25">
      <c r="A12" s="8">
        <v>10</v>
      </c>
      <c r="B12" s="8" t="s">
        <v>36</v>
      </c>
      <c r="C12" s="18" t="s">
        <v>37</v>
      </c>
      <c r="D12" s="19">
        <v>58000</v>
      </c>
      <c r="E12" s="75">
        <f t="shared" si="0"/>
        <v>9</v>
      </c>
      <c r="F12" s="76">
        <f t="shared" si="1"/>
        <v>2</v>
      </c>
    </row>
    <row r="13" spans="1:6" x14ac:dyDescent="0.25">
      <c r="C13"/>
      <c r="E13" t="s">
        <v>116</v>
      </c>
      <c r="F13" t="s">
        <v>117</v>
      </c>
    </row>
    <row r="14" spans="1:6" x14ac:dyDescent="0.25">
      <c r="C14"/>
    </row>
    <row r="15" spans="1:6" x14ac:dyDescent="0.25">
      <c r="C15"/>
    </row>
    <row r="16" spans="1:6" x14ac:dyDescent="0.25">
      <c r="C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2D1AC-7006-4718-87EF-696F0A2346A6}">
  <sheetPr codeName="Sheet9"/>
  <dimension ref="A1:G28"/>
  <sheetViews>
    <sheetView workbookViewId="0">
      <selection activeCell="L17" sqref="L17"/>
    </sheetView>
  </sheetViews>
  <sheetFormatPr defaultRowHeight="15" x14ac:dyDescent="0.25"/>
  <cols>
    <col min="2" max="2" width="15" customWidth="1"/>
    <col min="3" max="3" width="13.7109375" style="21" customWidth="1"/>
    <col min="4" max="6" width="16" customWidth="1"/>
    <col min="7" max="7" width="19.140625" customWidth="1"/>
  </cols>
  <sheetData>
    <row r="1" spans="1:7" ht="28.5" x14ac:dyDescent="0.45">
      <c r="A1" s="13" t="s">
        <v>42</v>
      </c>
      <c r="B1" s="13"/>
      <c r="C1" s="13"/>
      <c r="D1" s="13"/>
      <c r="E1" s="13"/>
      <c r="F1" s="13"/>
      <c r="G1" s="13"/>
    </row>
    <row r="2" spans="1:7" ht="31.5" x14ac:dyDescent="0.25">
      <c r="A2" s="27" t="s">
        <v>43</v>
      </c>
      <c r="B2" s="29" t="s">
        <v>14</v>
      </c>
      <c r="C2" s="28" t="s">
        <v>15</v>
      </c>
      <c r="D2" s="30" t="s">
        <v>44</v>
      </c>
      <c r="E2" s="30" t="s">
        <v>45</v>
      </c>
      <c r="F2" s="30" t="s">
        <v>46</v>
      </c>
      <c r="G2" s="30" t="s">
        <v>47</v>
      </c>
    </row>
    <row r="3" spans="1:7" x14ac:dyDescent="0.25">
      <c r="A3" s="8">
        <v>1</v>
      </c>
      <c r="B3" s="8" t="s">
        <v>18</v>
      </c>
      <c r="C3" s="18" t="s">
        <v>49</v>
      </c>
      <c r="D3" s="19">
        <v>4020</v>
      </c>
      <c r="E3" s="19">
        <v>4080</v>
      </c>
      <c r="F3" s="19">
        <v>4100</v>
      </c>
      <c r="G3" s="19">
        <v>4110</v>
      </c>
    </row>
    <row r="4" spans="1:7" x14ac:dyDescent="0.25">
      <c r="A4" s="8">
        <v>2</v>
      </c>
      <c r="B4" s="8"/>
      <c r="C4" s="18" t="s">
        <v>50</v>
      </c>
      <c r="D4" s="19">
        <v>4060</v>
      </c>
      <c r="E4" s="19">
        <v>4120</v>
      </c>
      <c r="F4" s="19">
        <v>4150</v>
      </c>
      <c r="G4" s="19">
        <v>4125</v>
      </c>
    </row>
    <row r="5" spans="1:7" x14ac:dyDescent="0.25">
      <c r="A5" s="8">
        <v>3</v>
      </c>
      <c r="B5" s="8" t="s">
        <v>22</v>
      </c>
      <c r="C5" s="18" t="s">
        <v>51</v>
      </c>
      <c r="D5" s="19">
        <v>4100</v>
      </c>
      <c r="E5" s="19">
        <v>4160</v>
      </c>
      <c r="F5" s="19">
        <v>4200</v>
      </c>
      <c r="G5" s="19">
        <v>4140</v>
      </c>
    </row>
    <row r="6" spans="1:7" x14ac:dyDescent="0.25">
      <c r="A6" s="8">
        <v>4</v>
      </c>
      <c r="B6" s="8" t="s">
        <v>24</v>
      </c>
      <c r="C6" s="18"/>
      <c r="D6" s="19">
        <v>4140</v>
      </c>
      <c r="E6" s="19">
        <v>4200</v>
      </c>
      <c r="F6" s="19">
        <v>4250</v>
      </c>
      <c r="G6" s="19">
        <v>4155</v>
      </c>
    </row>
    <row r="7" spans="1:7" x14ac:dyDescent="0.25">
      <c r="A7" s="8">
        <v>5</v>
      </c>
      <c r="B7" s="8" t="s">
        <v>26</v>
      </c>
      <c r="C7" s="18" t="s">
        <v>53</v>
      </c>
      <c r="D7" s="19">
        <v>4180</v>
      </c>
      <c r="E7" s="19"/>
      <c r="F7" s="19">
        <v>4300</v>
      </c>
      <c r="G7" s="19">
        <v>4170</v>
      </c>
    </row>
    <row r="8" spans="1:7" x14ac:dyDescent="0.25">
      <c r="A8" s="8">
        <v>6</v>
      </c>
      <c r="B8" s="8" t="s">
        <v>28</v>
      </c>
      <c r="C8" s="18" t="s">
        <v>54</v>
      </c>
      <c r="D8" s="19">
        <v>4220</v>
      </c>
      <c r="E8" s="19">
        <v>4280</v>
      </c>
      <c r="F8" s="19">
        <v>4350</v>
      </c>
      <c r="G8" s="19">
        <v>4185</v>
      </c>
    </row>
    <row r="9" spans="1:7" x14ac:dyDescent="0.25">
      <c r="A9" s="8">
        <v>7</v>
      </c>
      <c r="B9" s="8" t="s">
        <v>30</v>
      </c>
      <c r="C9" s="18" t="s">
        <v>55</v>
      </c>
      <c r="D9" s="19">
        <v>4260</v>
      </c>
      <c r="E9" s="19">
        <v>4320</v>
      </c>
      <c r="F9" s="19">
        <v>4400</v>
      </c>
      <c r="G9" s="19">
        <v>4200</v>
      </c>
    </row>
    <row r="10" spans="1:7" x14ac:dyDescent="0.25">
      <c r="A10" s="8">
        <v>8</v>
      </c>
      <c r="B10" s="8" t="s">
        <v>32</v>
      </c>
      <c r="C10" s="18" t="s">
        <v>56</v>
      </c>
      <c r="D10" s="19">
        <v>4300</v>
      </c>
      <c r="E10" s="19">
        <v>4360</v>
      </c>
      <c r="F10" s="19">
        <v>4450</v>
      </c>
      <c r="G10" s="19">
        <v>4215</v>
      </c>
    </row>
    <row r="11" spans="1:7" x14ac:dyDescent="0.25">
      <c r="A11" s="8">
        <v>9</v>
      </c>
      <c r="B11" s="8" t="s">
        <v>34</v>
      </c>
      <c r="C11" s="18" t="s">
        <v>57</v>
      </c>
      <c r="D11" s="19">
        <v>4340</v>
      </c>
      <c r="E11" s="19">
        <v>4400</v>
      </c>
      <c r="F11" s="19">
        <v>4500</v>
      </c>
      <c r="G11" s="19">
        <v>4230</v>
      </c>
    </row>
    <row r="12" spans="1:7" x14ac:dyDescent="0.25">
      <c r="A12" s="8">
        <v>10</v>
      </c>
      <c r="B12" s="8" t="s">
        <v>36</v>
      </c>
      <c r="C12" s="18" t="s">
        <v>58</v>
      </c>
      <c r="D12" s="19">
        <v>4380</v>
      </c>
      <c r="E12" s="19">
        <v>4440</v>
      </c>
      <c r="F12" s="19">
        <v>4550</v>
      </c>
      <c r="G12" s="19">
        <v>4245</v>
      </c>
    </row>
    <row r="13" spans="1:7" x14ac:dyDescent="0.25">
      <c r="C13"/>
    </row>
    <row r="14" spans="1:7" x14ac:dyDescent="0.25">
      <c r="C14"/>
    </row>
    <row r="15" spans="1:7" x14ac:dyDescent="0.25">
      <c r="C15"/>
      <c r="E15" s="78" t="s">
        <v>121</v>
      </c>
      <c r="F15" s="77">
        <f>COUNTBLANK(B4:G6)</f>
        <v>2</v>
      </c>
    </row>
    <row r="16" spans="1:7" x14ac:dyDescent="0.25">
      <c r="C16"/>
      <c r="E16" s="78" t="s">
        <v>122</v>
      </c>
      <c r="F16" s="77">
        <f>COUNTBLANK(C3:C12)</f>
        <v>1</v>
      </c>
    </row>
    <row r="17" spans="1:6" x14ac:dyDescent="0.25">
      <c r="C17"/>
      <c r="E17" s="78" t="s">
        <v>123</v>
      </c>
      <c r="F17" s="77">
        <f>COUNTBLANK(A3:G12)</f>
        <v>3</v>
      </c>
    </row>
    <row r="18" spans="1:6" x14ac:dyDescent="0.25">
      <c r="F18" t="s">
        <v>124</v>
      </c>
    </row>
    <row r="19" spans="1:6" x14ac:dyDescent="0.25">
      <c r="A19" t="s">
        <v>118</v>
      </c>
      <c r="C19"/>
    </row>
    <row r="20" spans="1:6" x14ac:dyDescent="0.25">
      <c r="A20" t="s">
        <v>119</v>
      </c>
      <c r="C20"/>
    </row>
    <row r="21" spans="1:6" x14ac:dyDescent="0.25">
      <c r="A21" s="10" t="s">
        <v>120</v>
      </c>
      <c r="C21"/>
    </row>
    <row r="22" spans="1:6" x14ac:dyDescent="0.25">
      <c r="C22"/>
    </row>
    <row r="23" spans="1:6" x14ac:dyDescent="0.25">
      <c r="C23"/>
    </row>
    <row r="24" spans="1:6" x14ac:dyDescent="0.25">
      <c r="C24"/>
    </row>
    <row r="25" spans="1:6" x14ac:dyDescent="0.25">
      <c r="C25"/>
    </row>
    <row r="26" spans="1:6" x14ac:dyDescent="0.25">
      <c r="C26"/>
    </row>
    <row r="27" spans="1:6" x14ac:dyDescent="0.25">
      <c r="C27"/>
    </row>
    <row r="28" spans="1:6" x14ac:dyDescent="0.25">
      <c r="C28"/>
    </row>
  </sheetData>
  <mergeCells count="1">
    <mergeCell ref="A1:G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F808B-65C5-415D-B6AA-DFAB4BED27EF}">
  <sheetPr codeName="Sheet10"/>
  <dimension ref="A1:M22"/>
  <sheetViews>
    <sheetView workbookViewId="0">
      <selection activeCell="D16" sqref="D16:E16"/>
    </sheetView>
  </sheetViews>
  <sheetFormatPr defaultRowHeight="15" x14ac:dyDescent="0.25"/>
  <cols>
    <col min="2" max="2" width="16.5703125" customWidth="1"/>
    <col min="3" max="3" width="10.5703125" style="21" customWidth="1"/>
    <col min="4" max="4" width="12" customWidth="1"/>
    <col min="5" max="5" width="13" customWidth="1"/>
    <col min="6" max="6" width="11.28515625" customWidth="1"/>
    <col min="7" max="7" width="13" customWidth="1"/>
    <col min="8" max="8" width="12.85546875" customWidth="1"/>
    <col min="10" max="10" width="20.42578125" customWidth="1"/>
    <col min="11" max="11" width="15.28515625" customWidth="1"/>
    <col min="12" max="12" width="13.85546875" customWidth="1"/>
  </cols>
  <sheetData>
    <row r="1" spans="1:13" ht="28.5" x14ac:dyDescent="0.45">
      <c r="A1" s="13" t="s">
        <v>125</v>
      </c>
      <c r="B1" s="13"/>
      <c r="C1" s="13"/>
      <c r="D1" s="13"/>
      <c r="E1" s="13"/>
      <c r="F1" s="13"/>
      <c r="G1" s="13"/>
      <c r="H1" s="26"/>
    </row>
    <row r="2" spans="1:13" ht="18.75" x14ac:dyDescent="0.3">
      <c r="A2" s="79" t="s">
        <v>43</v>
      </c>
      <c r="B2" s="80" t="s">
        <v>126</v>
      </c>
      <c r="C2" s="81" t="s">
        <v>127</v>
      </c>
      <c r="D2" s="82" t="s">
        <v>128</v>
      </c>
      <c r="E2" s="82" t="s">
        <v>129</v>
      </c>
      <c r="F2" s="82" t="s">
        <v>130</v>
      </c>
      <c r="G2" s="82" t="s">
        <v>131</v>
      </c>
      <c r="H2" s="82" t="s">
        <v>132</v>
      </c>
      <c r="K2" s="87" t="s">
        <v>147</v>
      </c>
      <c r="L2" s="88" t="s">
        <v>148</v>
      </c>
    </row>
    <row r="3" spans="1:13" ht="15.75" x14ac:dyDescent="0.25">
      <c r="A3" s="83">
        <v>1</v>
      </c>
      <c r="B3" s="83" t="s">
        <v>133</v>
      </c>
      <c r="C3" s="84">
        <v>2950</v>
      </c>
      <c r="D3" s="84">
        <v>4020</v>
      </c>
      <c r="E3" s="84">
        <v>4080</v>
      </c>
      <c r="F3" s="84">
        <v>4100</v>
      </c>
      <c r="G3" s="84">
        <v>4110</v>
      </c>
      <c r="H3" s="84">
        <v>4100</v>
      </c>
      <c r="J3" s="32" t="s">
        <v>126</v>
      </c>
      <c r="K3" t="s">
        <v>139</v>
      </c>
      <c r="L3" s="93">
        <f>MATCH(K3,B3:B7,0)</f>
        <v>5</v>
      </c>
    </row>
    <row r="4" spans="1:13" ht="15.75" x14ac:dyDescent="0.25">
      <c r="A4" s="83">
        <v>2</v>
      </c>
      <c r="B4" s="83" t="s">
        <v>134</v>
      </c>
      <c r="C4" s="84">
        <v>3020</v>
      </c>
      <c r="D4" s="84">
        <v>4060</v>
      </c>
      <c r="E4" s="84">
        <v>4120</v>
      </c>
      <c r="F4" s="84">
        <v>4150</v>
      </c>
      <c r="G4" s="84">
        <v>4125</v>
      </c>
      <c r="H4" s="84">
        <v>4125</v>
      </c>
      <c r="J4" s="32" t="s">
        <v>135</v>
      </c>
      <c r="K4" s="89" t="s">
        <v>127</v>
      </c>
      <c r="L4" s="92">
        <f>MATCH(K4,C2:H2,0)</f>
        <v>1</v>
      </c>
    </row>
    <row r="5" spans="1:13" ht="15.75" x14ac:dyDescent="0.25">
      <c r="A5" s="83">
        <v>3</v>
      </c>
      <c r="B5" s="83" t="s">
        <v>136</v>
      </c>
      <c r="C5" s="84">
        <v>3090</v>
      </c>
      <c r="D5" s="84">
        <v>4100</v>
      </c>
      <c r="E5" s="84">
        <v>4160</v>
      </c>
      <c r="F5" s="84">
        <v>4200</v>
      </c>
      <c r="G5" s="84">
        <v>4140</v>
      </c>
      <c r="H5" s="84">
        <v>4150</v>
      </c>
      <c r="J5" s="32" t="s">
        <v>137</v>
      </c>
      <c r="K5">
        <f>INDEX(C3:H7,MATCH(K3,B3:B7,0),MATCH(K4,C2:H2,0))</f>
        <v>3230</v>
      </c>
    </row>
    <row r="6" spans="1:13" ht="15.75" x14ac:dyDescent="0.25">
      <c r="A6" s="83">
        <v>4</v>
      </c>
      <c r="B6" s="83" t="s">
        <v>138</v>
      </c>
      <c r="C6" s="84">
        <v>3160</v>
      </c>
      <c r="D6" s="84">
        <v>4140</v>
      </c>
      <c r="E6" s="84">
        <v>4200</v>
      </c>
      <c r="F6" s="84">
        <v>4250</v>
      </c>
      <c r="G6" s="84">
        <v>4155</v>
      </c>
      <c r="H6" s="84">
        <v>4175</v>
      </c>
      <c r="K6" s="10" t="s">
        <v>149</v>
      </c>
    </row>
    <row r="7" spans="1:13" ht="15.75" x14ac:dyDescent="0.25">
      <c r="A7" s="83">
        <v>5</v>
      </c>
      <c r="B7" s="83" t="s">
        <v>139</v>
      </c>
      <c r="C7" s="84">
        <v>3230</v>
      </c>
      <c r="D7" s="84">
        <v>4180</v>
      </c>
      <c r="E7" s="84">
        <v>4240</v>
      </c>
      <c r="F7" s="84">
        <v>4300</v>
      </c>
      <c r="G7" s="84">
        <v>4170</v>
      </c>
      <c r="H7" s="84">
        <v>4200</v>
      </c>
      <c r="K7" t="s">
        <v>150</v>
      </c>
    </row>
    <row r="8" spans="1:13" x14ac:dyDescent="0.25">
      <c r="C8"/>
    </row>
    <row r="9" spans="1:13" x14ac:dyDescent="0.25">
      <c r="C9"/>
    </row>
    <row r="10" spans="1:13" x14ac:dyDescent="0.25">
      <c r="C10"/>
    </row>
    <row r="11" spans="1:13" x14ac:dyDescent="0.25">
      <c r="C11"/>
      <c r="J11" s="91" t="s">
        <v>147</v>
      </c>
      <c r="K11" s="90" t="s">
        <v>145</v>
      </c>
      <c r="L11" s="90"/>
      <c r="M11" s="90"/>
    </row>
    <row r="12" spans="1:13" x14ac:dyDescent="0.25">
      <c r="C12"/>
      <c r="J12" s="91"/>
      <c r="K12" s="90" t="s">
        <v>146</v>
      </c>
      <c r="L12" s="90"/>
      <c r="M12" s="90"/>
    </row>
    <row r="13" spans="1:13" x14ac:dyDescent="0.25">
      <c r="C13"/>
    </row>
    <row r="14" spans="1:13" ht="37.5" x14ac:dyDescent="0.3">
      <c r="B14" s="85" t="s">
        <v>140</v>
      </c>
      <c r="C14" s="86" t="s">
        <v>141</v>
      </c>
    </row>
    <row r="15" spans="1:13" x14ac:dyDescent="0.25">
      <c r="C15"/>
    </row>
    <row r="16" spans="1:13" x14ac:dyDescent="0.25">
      <c r="C16"/>
    </row>
    <row r="17" spans="1:3" x14ac:dyDescent="0.25">
      <c r="C17"/>
    </row>
    <row r="18" spans="1:3" x14ac:dyDescent="0.25">
      <c r="C18"/>
    </row>
    <row r="19" spans="1:3" x14ac:dyDescent="0.25">
      <c r="A19" t="s">
        <v>142</v>
      </c>
      <c r="C19"/>
    </row>
    <row r="20" spans="1:3" x14ac:dyDescent="0.25">
      <c r="A20" t="s">
        <v>143</v>
      </c>
    </row>
    <row r="22" spans="1:3" x14ac:dyDescent="0.25">
      <c r="A22" t="s">
        <v>144</v>
      </c>
    </row>
  </sheetData>
  <mergeCells count="4">
    <mergeCell ref="A1:G1"/>
    <mergeCell ref="J11:J12"/>
    <mergeCell ref="K11:M11"/>
    <mergeCell ref="K12:M12"/>
  </mergeCells>
  <dataValidations count="2">
    <dataValidation type="list" allowBlank="1" showInputMessage="1" showErrorMessage="1" sqref="K3" xr:uid="{6FEC04A0-6EB9-4996-BF85-6DBF18D72269}">
      <formula1>$B$3:$B$7</formula1>
    </dataValidation>
    <dataValidation type="list" allowBlank="1" showInputMessage="1" showErrorMessage="1" sqref="K4" xr:uid="{0B5D9A80-A041-46BE-9109-23CBA6200C01}">
      <formula1>$C$2:$H$2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B5015-6BB7-4E04-BA43-F83D1D089C59}">
  <sheetPr codeName="Sheet11"/>
  <dimension ref="B2:F17"/>
  <sheetViews>
    <sheetView workbookViewId="0">
      <selection activeCell="B1" sqref="B1"/>
    </sheetView>
  </sheetViews>
  <sheetFormatPr defaultRowHeight="28.5" customHeight="1" x14ac:dyDescent="0.25"/>
  <cols>
    <col min="1" max="1" width="9.140625" style="95"/>
    <col min="2" max="2" width="25.28515625" style="98" customWidth="1"/>
    <col min="3" max="3" width="32" style="95" customWidth="1"/>
    <col min="4" max="4" width="24.85546875" style="95" customWidth="1"/>
    <col min="5" max="5" width="29.28515625" style="95" customWidth="1"/>
    <col min="6" max="6" width="27.5703125" style="95" customWidth="1"/>
    <col min="7" max="16384" width="9.140625" style="95"/>
  </cols>
  <sheetData>
    <row r="2" spans="2:6" ht="28.5" customHeight="1" x14ac:dyDescent="0.25">
      <c r="B2" s="99" t="s">
        <v>151</v>
      </c>
      <c r="C2" s="100" t="s">
        <v>152</v>
      </c>
      <c r="D2" s="100" t="s">
        <v>153</v>
      </c>
      <c r="E2" s="100" t="s">
        <v>154</v>
      </c>
      <c r="F2" s="100" t="s">
        <v>155</v>
      </c>
    </row>
    <row r="3" spans="2:6" ht="28.5" customHeight="1" x14ac:dyDescent="0.25">
      <c r="B3" s="96">
        <v>5</v>
      </c>
      <c r="C3" s="101" t="s">
        <v>156</v>
      </c>
      <c r="D3" s="101" t="s">
        <v>157</v>
      </c>
      <c r="E3" s="101" t="s">
        <v>158</v>
      </c>
      <c r="F3" s="101" t="s">
        <v>159</v>
      </c>
    </row>
    <row r="4" spans="2:6" ht="28.5" customHeight="1" x14ac:dyDescent="0.25">
      <c r="B4" s="96">
        <v>100</v>
      </c>
      <c r="C4" s="97" t="str" cm="1">
        <f t="array" ref="C4">spellNumber(B4)</f>
        <v>one hundred</v>
      </c>
      <c r="D4" s="97" t="str">
        <f t="shared" ref="D4:D11" si="0">PROPER(C4)</f>
        <v>One Hundred</v>
      </c>
      <c r="E4" s="97" t="str">
        <f t="shared" ref="E4:E11" si="1">UPPER(C4)</f>
        <v>ONE HUNDRED</v>
      </c>
      <c r="F4" s="97" t="str">
        <f t="shared" ref="F4:F11" si="2">LOWER(C4)</f>
        <v>one hundred</v>
      </c>
    </row>
    <row r="5" spans="2:6" ht="28.5" customHeight="1" x14ac:dyDescent="0.25">
      <c r="B5" s="96">
        <v>1000</v>
      </c>
      <c r="C5" s="97" t="str" cm="1">
        <f t="array" ref="C5">spellNumber(B5)</f>
        <v>one thousand</v>
      </c>
      <c r="D5" s="97" t="str">
        <f t="shared" si="0"/>
        <v>One Thousand</v>
      </c>
      <c r="E5" s="97" t="str">
        <f t="shared" si="1"/>
        <v>ONE THOUSAND</v>
      </c>
      <c r="F5" s="97" t="str">
        <f t="shared" si="2"/>
        <v>one thousand</v>
      </c>
    </row>
    <row r="6" spans="2:6" ht="28.5" customHeight="1" x14ac:dyDescent="0.25">
      <c r="B6" s="96">
        <v>10000</v>
      </c>
      <c r="C6" s="97" t="str" cm="1">
        <f t="array" ref="C6">spellNumber(B6)</f>
        <v>ten thousand</v>
      </c>
      <c r="D6" s="97" t="str">
        <f t="shared" si="0"/>
        <v>Ten Thousand</v>
      </c>
      <c r="E6" s="97" t="str">
        <f t="shared" si="1"/>
        <v>TEN THOUSAND</v>
      </c>
      <c r="F6" s="97" t="str">
        <f t="shared" si="2"/>
        <v>ten thousand</v>
      </c>
    </row>
    <row r="7" spans="2:6" ht="28.5" customHeight="1" x14ac:dyDescent="0.25">
      <c r="B7" s="96">
        <v>100000</v>
      </c>
      <c r="C7" s="97" t="str" cm="1">
        <f t="array" ref="C7">spellNumber(B7)</f>
        <v>one hundred thousand</v>
      </c>
      <c r="D7" s="97" t="str">
        <f t="shared" si="0"/>
        <v>One Hundred Thousand</v>
      </c>
      <c r="E7" s="97" t="str">
        <f t="shared" si="1"/>
        <v>ONE HUNDRED THOUSAND</v>
      </c>
      <c r="F7" s="97" t="str">
        <f t="shared" si="2"/>
        <v>one hundred thousand</v>
      </c>
    </row>
    <row r="8" spans="2:6" ht="28.5" customHeight="1" x14ac:dyDescent="0.25">
      <c r="B8" s="96">
        <v>1000000</v>
      </c>
      <c r="C8" s="97" t="str" cm="1">
        <f t="array" ref="C8">spellNumber(B8)</f>
        <v>one million</v>
      </c>
      <c r="D8" s="97" t="str">
        <f t="shared" si="0"/>
        <v>One Million</v>
      </c>
      <c r="E8" s="97" t="str">
        <f t="shared" si="1"/>
        <v>ONE MILLION</v>
      </c>
      <c r="F8" s="97" t="str">
        <f t="shared" si="2"/>
        <v>one million</v>
      </c>
    </row>
    <row r="9" spans="2:6" ht="28.5" customHeight="1" x14ac:dyDescent="0.25">
      <c r="B9" s="96">
        <v>10000000</v>
      </c>
      <c r="C9" s="97" t="str" cm="1">
        <f t="array" ref="C9">spellNumber(B9)</f>
        <v>ten million</v>
      </c>
      <c r="D9" s="97" t="str">
        <f t="shared" si="0"/>
        <v>Ten Million</v>
      </c>
      <c r="E9" s="97" t="str">
        <f t="shared" si="1"/>
        <v>TEN MILLION</v>
      </c>
      <c r="F9" s="97" t="str">
        <f t="shared" si="2"/>
        <v>ten million</v>
      </c>
    </row>
    <row r="10" spans="2:6" ht="28.5" customHeight="1" x14ac:dyDescent="0.25">
      <c r="B10" s="96">
        <v>100000000</v>
      </c>
      <c r="C10" s="97" t="str" cm="1">
        <f t="array" ref="C10">spellNumber(B10)</f>
        <v>one hundred million</v>
      </c>
      <c r="D10" s="97" t="str">
        <f t="shared" si="0"/>
        <v>One Hundred Million</v>
      </c>
      <c r="E10" s="97" t="str">
        <f t="shared" si="1"/>
        <v>ONE HUNDRED MILLION</v>
      </c>
      <c r="F10" s="97" t="str">
        <f t="shared" si="2"/>
        <v>one hundred million</v>
      </c>
    </row>
    <row r="11" spans="2:6" ht="28.5" customHeight="1" x14ac:dyDescent="0.25">
      <c r="B11" s="96">
        <v>1000000000</v>
      </c>
      <c r="C11" s="97" t="str" cm="1">
        <f t="array" ref="C11">spellNumber(B11)</f>
        <v>one billion</v>
      </c>
      <c r="D11" s="97" t="str">
        <f t="shared" si="0"/>
        <v>One Billion</v>
      </c>
      <c r="E11" s="97" t="str">
        <f t="shared" si="1"/>
        <v>ONE BILLION</v>
      </c>
      <c r="F11" s="97" t="str">
        <f t="shared" si="2"/>
        <v>one billion</v>
      </c>
    </row>
    <row r="14" spans="2:6" ht="28.5" customHeight="1" x14ac:dyDescent="0.25">
      <c r="B14" s="102" t="s">
        <v>160</v>
      </c>
    </row>
    <row r="15" spans="2:6" ht="28.5" customHeight="1" x14ac:dyDescent="0.25">
      <c r="B15" s="102" t="s">
        <v>161</v>
      </c>
    </row>
    <row r="17" spans="2:2" ht="28.5" customHeight="1" x14ac:dyDescent="0.25">
      <c r="B17" s="98" t="s">
        <v>162</v>
      </c>
    </row>
  </sheetData>
  <pageMargins left="0.7" right="0.7" top="0.75" bottom="0.75" header="0.3" footer="0.3"/>
  <pageSetup orientation="portrait" horizontalDpi="300" verticalDpi="0" r:id="rId1"/>
  <drawing r:id="rId2"/>
  <legacyDrawing r:id="rId3"/>
  <oleObjects>
    <mc:AlternateContent xmlns:mc="http://schemas.openxmlformats.org/markup-compatibility/2006">
      <mc:Choice Requires="x14">
        <oleObject progId="Word.OpenDocumentText.12" shapeId="11266" r:id="rId4">
          <objectPr defaultSize="0" autoPict="0" r:id="rId5">
            <anchor moveWithCells="1">
              <from>
                <xdr:col>3</xdr:col>
                <xdr:colOff>28575</xdr:colOff>
                <xdr:row>16</xdr:row>
                <xdr:rowOff>47625</xdr:rowOff>
              </from>
              <to>
                <xdr:col>4</xdr:col>
                <xdr:colOff>1009650</xdr:colOff>
                <xdr:row>21</xdr:row>
                <xdr:rowOff>114300</xdr:rowOff>
              </to>
            </anchor>
          </objectPr>
        </oleObject>
      </mc:Choice>
      <mc:Fallback>
        <oleObject progId="Word.OpenDocumentText.12" shapeId="11266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67" r:id="rId6">
          <objectPr defaultSize="0" r:id="rId7">
            <anchor moveWithCells="1">
              <from>
                <xdr:col>2</xdr:col>
                <xdr:colOff>28575</xdr:colOff>
                <xdr:row>16</xdr:row>
                <xdr:rowOff>76200</xdr:rowOff>
              </from>
              <to>
                <xdr:col>2</xdr:col>
                <xdr:colOff>1181100</xdr:colOff>
                <xdr:row>17</xdr:row>
                <xdr:rowOff>228600</xdr:rowOff>
              </to>
            </anchor>
          </objectPr>
        </oleObject>
      </mc:Choice>
      <mc:Fallback>
        <oleObject progId="Packager Shell Object" dvAspect="DVASPECT_ICON" shapeId="11267" r:id="rId6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4A85-F195-4EF1-97A6-AA2071C8863A}">
  <dimension ref="B2:I11"/>
  <sheetViews>
    <sheetView workbookViewId="0">
      <selection activeCell="B13" sqref="B13"/>
    </sheetView>
  </sheetViews>
  <sheetFormatPr defaultRowHeight="15" x14ac:dyDescent="0.25"/>
  <cols>
    <col min="2" max="2" width="14.42578125" bestFit="1" customWidth="1"/>
    <col min="3" max="3" width="7.140625" bestFit="1" customWidth="1"/>
    <col min="4" max="4" width="13.42578125" customWidth="1"/>
    <col min="5" max="5" width="20.7109375" customWidth="1"/>
    <col min="6" max="6" width="16.42578125" customWidth="1"/>
    <col min="7" max="7" width="10.28515625" bestFit="1" customWidth="1"/>
    <col min="8" max="8" width="12.7109375" bestFit="1" customWidth="1"/>
    <col min="9" max="9" width="23.5703125" bestFit="1" customWidth="1"/>
  </cols>
  <sheetData>
    <row r="2" spans="2:9" s="94" customFormat="1" ht="30.75" customHeight="1" x14ac:dyDescent="0.25">
      <c r="B2" s="94" t="s">
        <v>163</v>
      </c>
      <c r="C2" s="94" t="s">
        <v>164</v>
      </c>
      <c r="D2" s="94" t="s">
        <v>165</v>
      </c>
      <c r="E2" s="94" t="s">
        <v>166</v>
      </c>
      <c r="F2" s="94" t="s">
        <v>167</v>
      </c>
      <c r="G2" s="94" t="s">
        <v>168</v>
      </c>
      <c r="H2" s="94" t="s">
        <v>169</v>
      </c>
      <c r="I2" s="94" t="s">
        <v>170</v>
      </c>
    </row>
    <row r="3" spans="2:9" x14ac:dyDescent="0.25">
      <c r="E3" s="103"/>
      <c r="I3" s="104"/>
    </row>
    <row r="11" spans="2:9" x14ac:dyDescent="0.25">
      <c r="B11" t="s">
        <v>171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WORKDAY</vt:lpstr>
      <vt:lpstr>RAND</vt:lpstr>
      <vt:lpstr>RANDBETWEEN</vt:lpstr>
      <vt:lpstr>VLOOKUP</vt:lpstr>
      <vt:lpstr>HLOOKUP</vt:lpstr>
      <vt:lpstr>CHOOSE</vt:lpstr>
      <vt:lpstr>TRANSPOSE</vt:lpstr>
      <vt:lpstr>RANK</vt:lpstr>
      <vt:lpstr>COUNTBLANK</vt:lpstr>
      <vt:lpstr>INDEX &amp; MATCH</vt:lpstr>
      <vt:lpstr>CONVERT No. to Words</vt:lpstr>
      <vt:lpstr>Data Entry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Chann</dc:creator>
  <cp:lastModifiedBy>Noah Chann</cp:lastModifiedBy>
  <dcterms:created xsi:type="dcterms:W3CDTF">2022-04-01T16:32:53Z</dcterms:created>
  <dcterms:modified xsi:type="dcterms:W3CDTF">2022-04-01T18:45:14Z</dcterms:modified>
</cp:coreProperties>
</file>